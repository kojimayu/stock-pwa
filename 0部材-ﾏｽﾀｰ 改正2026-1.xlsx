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LS720D8C7\share\部材\"/>
    </mc:Choice>
  </mc:AlternateContent>
  <xr:revisionPtr revIDLastSave="0" documentId="13_ncr:1_{12310AA2-93F0-40AB-B3DA-11D004FE5340}" xr6:coauthVersionLast="47" xr6:coauthVersionMax="47" xr10:uidLastSave="{00000000-0000-0000-0000-000000000000}"/>
  <bookViews>
    <workbookView xWindow="2685" yWindow="690" windowWidth="25365" windowHeight="13770" tabRatio="346" xr2:uid="{00000000-000D-0000-FFFF-FFFF00000000}"/>
  </bookViews>
  <sheets>
    <sheet name="Sheet1 " sheetId="3"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2" i="3" l="1"/>
  <c r="C62" i="3"/>
  <c r="C55" i="3" l="1"/>
  <c r="D55" i="3" s="1"/>
  <c r="C17" i="3"/>
  <c r="D17" i="3" s="1"/>
  <c r="C104" i="3" l="1"/>
  <c r="D104" i="3" s="1"/>
  <c r="C105" i="3"/>
  <c r="D105" i="3" s="1"/>
  <c r="C106" i="3"/>
  <c r="D106" i="3" s="1"/>
  <c r="C107" i="3"/>
  <c r="D107" i="3" s="1"/>
  <c r="C24" i="3"/>
  <c r="D24" i="3" s="1"/>
  <c r="C7" i="3"/>
  <c r="D7" i="3" s="1"/>
  <c r="C27" i="3"/>
  <c r="D27" i="3" s="1"/>
  <c r="C99" i="3" l="1"/>
  <c r="D99" i="3" s="1"/>
  <c r="C26" i="3" l="1"/>
  <c r="D26" i="3" s="1"/>
  <c r="C12" i="3" l="1"/>
  <c r="D12" i="3" s="1"/>
  <c r="C89" i="3" l="1"/>
  <c r="D89" i="3" s="1"/>
  <c r="C44" i="3" l="1"/>
  <c r="D44" i="3" s="1"/>
  <c r="C109" i="3" l="1"/>
  <c r="D109" i="3" s="1"/>
  <c r="C108" i="3"/>
  <c r="D108" i="3" s="1"/>
  <c r="C103" i="3"/>
  <c r="D103" i="3" s="1"/>
  <c r="C102" i="3"/>
  <c r="D102" i="3" s="1"/>
  <c r="C101" i="3"/>
  <c r="D101" i="3" s="1"/>
  <c r="C100" i="3"/>
  <c r="D100" i="3" s="1"/>
  <c r="C98" i="3"/>
  <c r="D98" i="3" s="1"/>
  <c r="C97" i="3"/>
  <c r="D97" i="3" s="1"/>
  <c r="C96" i="3"/>
  <c r="D96" i="3" s="1"/>
  <c r="C95" i="3"/>
  <c r="D95" i="3" s="1"/>
  <c r="C94" i="3"/>
  <c r="D94" i="3" s="1"/>
  <c r="C93" i="3"/>
  <c r="D93" i="3" s="1"/>
  <c r="C92" i="3"/>
  <c r="D92" i="3" s="1"/>
  <c r="C91" i="3"/>
  <c r="D91" i="3" s="1"/>
  <c r="C90" i="3"/>
  <c r="D90" i="3" s="1"/>
  <c r="C88" i="3"/>
  <c r="D88" i="3" s="1"/>
  <c r="C87" i="3"/>
  <c r="D87" i="3" s="1"/>
  <c r="C86" i="3"/>
  <c r="D86" i="3" s="1"/>
  <c r="C85" i="3"/>
  <c r="D85" i="3" s="1"/>
  <c r="C84" i="3"/>
  <c r="D84" i="3" s="1"/>
  <c r="C83" i="3"/>
  <c r="D83" i="3" s="1"/>
  <c r="C82" i="3"/>
  <c r="D82" i="3" s="1"/>
  <c r="C81" i="3"/>
  <c r="D81" i="3" s="1"/>
  <c r="C80" i="3"/>
  <c r="D80" i="3" s="1"/>
  <c r="C79" i="3"/>
  <c r="D79" i="3" s="1"/>
  <c r="C78" i="3"/>
  <c r="D78" i="3" s="1"/>
  <c r="C77" i="3"/>
  <c r="D77" i="3" s="1"/>
  <c r="C76" i="3"/>
  <c r="D76" i="3" s="1"/>
  <c r="C75" i="3"/>
  <c r="D75" i="3" s="1"/>
  <c r="C74" i="3"/>
  <c r="D74" i="3" s="1"/>
  <c r="C73" i="3"/>
  <c r="D73" i="3" s="1"/>
  <c r="C72" i="3"/>
  <c r="D72" i="3" s="1"/>
  <c r="C71" i="3"/>
  <c r="D71" i="3" s="1"/>
  <c r="C70" i="3"/>
  <c r="D70" i="3" s="1"/>
  <c r="C69" i="3"/>
  <c r="D69" i="3" s="1"/>
  <c r="C68" i="3"/>
  <c r="D68" i="3" s="1"/>
  <c r="C67" i="3"/>
  <c r="D67" i="3" s="1"/>
  <c r="C66" i="3"/>
  <c r="D66" i="3" s="1"/>
  <c r="C65" i="3"/>
  <c r="D65" i="3" s="1"/>
  <c r="C64" i="3"/>
  <c r="D64" i="3" s="1"/>
  <c r="C63" i="3"/>
  <c r="D63" i="3" s="1"/>
  <c r="C61" i="3"/>
  <c r="D61" i="3" s="1"/>
  <c r="C60" i="3"/>
  <c r="D60" i="3" s="1"/>
  <c r="C59" i="3"/>
  <c r="D59" i="3" s="1"/>
  <c r="C58" i="3"/>
  <c r="D58" i="3" s="1"/>
  <c r="C57" i="3"/>
  <c r="D57" i="3" s="1"/>
  <c r="C56" i="3"/>
  <c r="D56" i="3" s="1"/>
  <c r="C54" i="3"/>
  <c r="D54" i="3" s="1"/>
  <c r="C53" i="3"/>
  <c r="D53" i="3" s="1"/>
  <c r="C52" i="3"/>
  <c r="D52" i="3" s="1"/>
  <c r="C51" i="3"/>
  <c r="D51" i="3" s="1"/>
  <c r="C50" i="3"/>
  <c r="D50" i="3" s="1"/>
  <c r="C49" i="3"/>
  <c r="D49" i="3" s="1"/>
  <c r="C48" i="3"/>
  <c r="D48" i="3" s="1"/>
  <c r="C47" i="3"/>
  <c r="D47" i="3" s="1"/>
  <c r="C46" i="3"/>
  <c r="D46" i="3" s="1"/>
  <c r="C45" i="3"/>
  <c r="D45" i="3" s="1"/>
  <c r="C43" i="3"/>
  <c r="D43" i="3" s="1"/>
  <c r="C42" i="3"/>
  <c r="D42" i="3" s="1"/>
  <c r="C41" i="3"/>
  <c r="D41" i="3" s="1"/>
  <c r="C40" i="3"/>
  <c r="D40" i="3" s="1"/>
  <c r="C39" i="3"/>
  <c r="D39" i="3" s="1"/>
  <c r="C38" i="3"/>
  <c r="D38" i="3" s="1"/>
  <c r="C37" i="3"/>
  <c r="D37" i="3" s="1"/>
  <c r="C36" i="3"/>
  <c r="D36" i="3" s="1"/>
  <c r="C35" i="3"/>
  <c r="D35" i="3" s="1"/>
  <c r="C34" i="3"/>
  <c r="D34" i="3" s="1"/>
  <c r="C33" i="3"/>
  <c r="D33" i="3" s="1"/>
  <c r="C32" i="3"/>
  <c r="D32" i="3" s="1"/>
  <c r="C31" i="3"/>
  <c r="D31" i="3" s="1"/>
  <c r="C30" i="3"/>
  <c r="D30" i="3" s="1"/>
  <c r="C29" i="3"/>
  <c r="D29" i="3" s="1"/>
  <c r="C25" i="3"/>
  <c r="D25" i="3" s="1"/>
  <c r="C23" i="3"/>
  <c r="D23" i="3" s="1"/>
  <c r="C22" i="3"/>
  <c r="D22" i="3" s="1"/>
  <c r="C28" i="3"/>
  <c r="D28" i="3" s="1"/>
  <c r="C21" i="3"/>
  <c r="D21" i="3" s="1"/>
  <c r="C20" i="3"/>
  <c r="D20" i="3" s="1"/>
  <c r="C19" i="3"/>
  <c r="D19" i="3" s="1"/>
  <c r="C18" i="3"/>
  <c r="D18" i="3" s="1"/>
  <c r="C16" i="3"/>
  <c r="D16" i="3" s="1"/>
  <c r="C15" i="3"/>
  <c r="D15" i="3" s="1"/>
  <c r="C14" i="3"/>
  <c r="D14" i="3" s="1"/>
  <c r="C13" i="3"/>
  <c r="D13" i="3" s="1"/>
  <c r="C11" i="3"/>
  <c r="D11" i="3" s="1"/>
  <c r="C10" i="3"/>
  <c r="D10" i="3" s="1"/>
  <c r="C9" i="3"/>
  <c r="D9" i="3" s="1"/>
  <c r="C8" i="3"/>
  <c r="D8" i="3" s="1"/>
  <c r="C6" i="3"/>
  <c r="D6" i="3" s="1"/>
  <c r="C5" i="3"/>
  <c r="D5" i="3" s="1"/>
  <c r="C4" i="3"/>
  <c r="D4" i="3" s="1"/>
  <c r="C3" i="3"/>
  <c r="D3" i="3" s="1"/>
  <c r="D110" i="3" l="1"/>
  <c r="D111" i="3" s="1"/>
  <c r="D11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tc={6CBD7C71-B83A-4371-8987-32B54CCC60E1}</author>
    <author>tc={357DBED6-C514-4F7E-82A9-8AB119A31E22}</author>
    <author>tc={1C153DB4-42FB-40D6-A0E4-8C663A68EE9D}</author>
    <author>tc={9B1DBF74-DC61-4BB1-B7BF-13FEB9EC6A2F}</author>
  </authors>
  <commentList>
    <comment ref="B8" authorId="0" shapeId="0" xr:uid="{6CBD7C71-B83A-4371-8987-32B54CCC60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＠67から＠73</t>
      </text>
    </comment>
    <comment ref="B10" authorId="1" shapeId="0" xr:uid="{357DBED6-C514-4F7E-82A9-8AB119A31E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3200⇒3600　2022/10月分より</t>
      </text>
    </comment>
    <comment ref="B11" authorId="2" shapeId="0" xr:uid="{1C153DB4-42FB-40D6-A0E4-8C663A68EE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11,300⇒11,800　2022/10月分より　　
2024-12より13500</t>
      </text>
    </comment>
    <comment ref="B16" authorId="3" shapeId="0" xr:uid="{9B1DBF74-DC61-4BB1-B7BF-13FEB9EC6A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＠165
返信:
＠183に変更</t>
      </text>
    </comment>
  </commentList>
</comments>
</file>

<file path=xl/sharedStrings.xml><?xml version="1.0" encoding="utf-8"?>
<sst xmlns="http://schemas.openxmlformats.org/spreadsheetml/2006/main" count="114" uniqueCount="112">
  <si>
    <t>品名</t>
    <rPh sb="0" eb="2">
      <t>ヒンメイ</t>
    </rPh>
    <phoneticPr fontId="1"/>
  </si>
  <si>
    <t>単価</t>
    <rPh sb="0" eb="2">
      <t>タンカ</t>
    </rPh>
    <phoneticPr fontId="1"/>
  </si>
  <si>
    <t>数</t>
    <rPh sb="0" eb="1">
      <t>カズ</t>
    </rPh>
    <phoneticPr fontId="1"/>
  </si>
  <si>
    <t>合計</t>
    <rPh sb="0" eb="2">
      <t>ゴウケイ</t>
    </rPh>
    <phoneticPr fontId="1"/>
  </si>
  <si>
    <t>KD-70</t>
    <phoneticPr fontId="1"/>
  </si>
  <si>
    <t>KS-70</t>
    <phoneticPr fontId="1"/>
  </si>
  <si>
    <t>KM2-70A</t>
    <phoneticPr fontId="1"/>
  </si>
  <si>
    <t>KD2-70A</t>
    <phoneticPr fontId="1"/>
  </si>
  <si>
    <t>KB-360　ベース</t>
    <phoneticPr fontId="1"/>
  </si>
  <si>
    <t>KKJ-7080</t>
    <phoneticPr fontId="1"/>
  </si>
  <si>
    <t>断熱ドレン</t>
    <rPh sb="0" eb="2">
      <t>ダンネツ</t>
    </rPh>
    <phoneticPr fontId="1"/>
  </si>
  <si>
    <t>ペア2/3　20ｍ</t>
    <phoneticPr fontId="1"/>
  </si>
  <si>
    <t>ペア2/4　20ｍ</t>
    <phoneticPr fontId="1"/>
  </si>
  <si>
    <t>ビニテ</t>
    <phoneticPr fontId="1"/>
  </si>
  <si>
    <t>パテ</t>
    <phoneticPr fontId="1"/>
  </si>
  <si>
    <t>コーテープ</t>
    <phoneticPr fontId="1"/>
  </si>
  <si>
    <t>2.0mm*3芯</t>
    <rPh sb="7" eb="8">
      <t>シン</t>
    </rPh>
    <phoneticPr fontId="1"/>
  </si>
  <si>
    <t>ドレンホース</t>
    <phoneticPr fontId="1"/>
  </si>
  <si>
    <t>SPWL、SPCH, SPCM</t>
    <phoneticPr fontId="1"/>
  </si>
  <si>
    <t>SPTC、SPWF-85</t>
    <phoneticPr fontId="1"/>
  </si>
  <si>
    <t>SPD-85</t>
    <phoneticPr fontId="1"/>
  </si>
  <si>
    <t>SPEN SPS</t>
    <phoneticPr fontId="1"/>
  </si>
  <si>
    <t>SPCI,O、SPC、45、SPW</t>
    <phoneticPr fontId="1"/>
  </si>
  <si>
    <t>SPWK</t>
    <phoneticPr fontId="1"/>
  </si>
  <si>
    <t>SPEF</t>
    <phoneticPr fontId="1"/>
  </si>
  <si>
    <t>おとめちゃん</t>
    <phoneticPr fontId="1"/>
  </si>
  <si>
    <t>SKT70</t>
    <phoneticPr fontId="1"/>
  </si>
  <si>
    <t>SKW-70</t>
    <phoneticPr fontId="1"/>
  </si>
  <si>
    <t>KCN-70(Ｔ</t>
    <phoneticPr fontId="1"/>
  </si>
  <si>
    <t>1.6ｍｍ　IV</t>
    <phoneticPr fontId="1"/>
  </si>
  <si>
    <t>ゴム</t>
    <phoneticPr fontId="1"/>
  </si>
  <si>
    <t>スリーブ</t>
    <phoneticPr fontId="1"/>
  </si>
  <si>
    <t>インシュロック　AB100</t>
    <phoneticPr fontId="1"/>
  </si>
  <si>
    <t>コンセント</t>
    <phoneticPr fontId="1"/>
  </si>
  <si>
    <t>応用バンド</t>
    <rPh sb="0" eb="2">
      <t>オウヨウ</t>
    </rPh>
    <phoneticPr fontId="1"/>
  </si>
  <si>
    <t>断熱ドレンチューブ</t>
    <rPh sb="0" eb="2">
      <t>ダンネツ</t>
    </rPh>
    <phoneticPr fontId="1"/>
  </si>
  <si>
    <t>100Vアース付</t>
    <rPh sb="7" eb="8">
      <t>ツキ</t>
    </rPh>
    <phoneticPr fontId="1"/>
  </si>
  <si>
    <t>DPL20</t>
    <phoneticPr fontId="1"/>
  </si>
  <si>
    <t>DPT20</t>
    <phoneticPr fontId="1"/>
  </si>
  <si>
    <t>DPS20</t>
    <phoneticPr fontId="1"/>
  </si>
  <si>
    <t>換気ヘッド　ＫＦ2-70</t>
    <rPh sb="0" eb="2">
      <t>カンキ</t>
    </rPh>
    <phoneticPr fontId="1"/>
  </si>
  <si>
    <t>2P2E</t>
    <phoneticPr fontId="1"/>
  </si>
  <si>
    <t>ボードアンカー　ＭＡ－1</t>
    <phoneticPr fontId="1"/>
  </si>
  <si>
    <t>その他</t>
    <rPh sb="2" eb="3">
      <t>タ</t>
    </rPh>
    <phoneticPr fontId="1"/>
  </si>
  <si>
    <t>MD75</t>
    <phoneticPr fontId="1"/>
  </si>
  <si>
    <t>MWS-75L</t>
    <phoneticPr fontId="1"/>
  </si>
  <si>
    <t>MWM-75-L</t>
    <phoneticPr fontId="1"/>
  </si>
  <si>
    <t>3分ナット</t>
    <rPh sb="1" eb="2">
      <t>ブ</t>
    </rPh>
    <phoneticPr fontId="1"/>
  </si>
  <si>
    <t>平地置き C-NG</t>
  </si>
  <si>
    <t>LDK</t>
    <phoneticPr fontId="1"/>
  </si>
  <si>
    <t>LDF-70</t>
    <phoneticPr fontId="1"/>
  </si>
  <si>
    <t>LDF-2000</t>
    <phoneticPr fontId="1"/>
  </si>
  <si>
    <t>LD-70</t>
    <phoneticPr fontId="1"/>
  </si>
  <si>
    <t>LDJ</t>
    <phoneticPr fontId="1"/>
  </si>
  <si>
    <t>LDWC</t>
    <phoneticPr fontId="1"/>
  </si>
  <si>
    <t>WC75N</t>
    <phoneticPr fontId="1"/>
  </si>
  <si>
    <t>LDN</t>
    <phoneticPr fontId="1"/>
  </si>
  <si>
    <t>LDP</t>
    <phoneticPr fontId="1"/>
  </si>
  <si>
    <t>FP65N</t>
    <phoneticPr fontId="1"/>
  </si>
  <si>
    <t>LDWM</t>
    <phoneticPr fontId="1"/>
  </si>
  <si>
    <t>LDWA</t>
    <phoneticPr fontId="1"/>
  </si>
  <si>
    <t>LDWK70S-1</t>
    <phoneticPr fontId="1"/>
  </si>
  <si>
    <t>SW77</t>
    <phoneticPr fontId="1"/>
  </si>
  <si>
    <t>SD77</t>
    <phoneticPr fontId="1"/>
  </si>
  <si>
    <t>SJ77</t>
    <phoneticPr fontId="1"/>
  </si>
  <si>
    <t>SD100</t>
    <phoneticPr fontId="1"/>
  </si>
  <si>
    <t>SJ-100</t>
    <phoneticPr fontId="1"/>
  </si>
  <si>
    <t>SDR100-77</t>
    <phoneticPr fontId="1"/>
  </si>
  <si>
    <t>SJA-100</t>
    <phoneticPr fontId="1"/>
  </si>
  <si>
    <t>LC-360</t>
    <phoneticPr fontId="1"/>
  </si>
  <si>
    <t>たて桟</t>
    <rPh sb="2" eb="3">
      <t>サン</t>
    </rPh>
    <phoneticPr fontId="1"/>
  </si>
  <si>
    <t>3.0ｍ</t>
    <phoneticPr fontId="1"/>
  </si>
  <si>
    <t>５Ｃ</t>
    <phoneticPr fontId="1"/>
  </si>
  <si>
    <t>落ちないくん</t>
    <rPh sb="0" eb="1">
      <t>オ</t>
    </rPh>
    <phoneticPr fontId="1"/>
  </si>
  <si>
    <t>ステンビス</t>
    <phoneticPr fontId="1"/>
  </si>
  <si>
    <t>ドリラー</t>
    <phoneticPr fontId="1"/>
  </si>
  <si>
    <t>ボードアンカー</t>
    <phoneticPr fontId="1"/>
  </si>
  <si>
    <t>座屈</t>
    <rPh sb="0" eb="1">
      <t>ザ</t>
    </rPh>
    <rPh sb="1" eb="2">
      <t>クツ</t>
    </rPh>
    <phoneticPr fontId="1"/>
  </si>
  <si>
    <t>ＱＫＫ</t>
    <phoneticPr fontId="1"/>
  </si>
  <si>
    <t>カフス　14</t>
    <phoneticPr fontId="1"/>
  </si>
  <si>
    <t>2.2ｋｗ</t>
    <phoneticPr fontId="1"/>
  </si>
  <si>
    <t>2.5ｋｗ</t>
    <phoneticPr fontId="1"/>
  </si>
  <si>
    <t>2.8ｋｗ</t>
    <phoneticPr fontId="1"/>
  </si>
  <si>
    <t>3.6ｋｗ</t>
    <phoneticPr fontId="1"/>
  </si>
  <si>
    <t>サドル KVE</t>
    <phoneticPr fontId="1"/>
  </si>
  <si>
    <t>JW-13</t>
    <phoneticPr fontId="1"/>
  </si>
  <si>
    <t>KPH-2320</t>
    <phoneticPr fontId="1"/>
  </si>
  <si>
    <t>中国電通</t>
    <rPh sb="0" eb="2">
      <t>チュウゴク</t>
    </rPh>
    <rPh sb="2" eb="4">
      <t>デンツウ</t>
    </rPh>
    <phoneticPr fontId="1"/>
  </si>
  <si>
    <t>カパス</t>
    <phoneticPr fontId="1"/>
  </si>
  <si>
    <t>ウレタン</t>
    <phoneticPr fontId="1"/>
  </si>
  <si>
    <t>ガン</t>
    <phoneticPr fontId="1"/>
  </si>
  <si>
    <t>洗浄液</t>
    <rPh sb="0" eb="2">
      <t>センジョウ</t>
    </rPh>
    <rPh sb="2" eb="3">
      <t>エキ</t>
    </rPh>
    <phoneticPr fontId="1"/>
  </si>
  <si>
    <t>消費税</t>
    <rPh sb="0" eb="3">
      <t>ショウヒゼイ</t>
    </rPh>
    <phoneticPr fontId="1"/>
  </si>
  <si>
    <t>総合計</t>
    <rPh sb="0" eb="3">
      <t>ソウゴウケイ</t>
    </rPh>
    <phoneticPr fontId="1"/>
  </si>
  <si>
    <t>KCZ-70</t>
    <phoneticPr fontId="1"/>
  </si>
  <si>
    <t>DP20ﾄﾞﾚﾝパイプ</t>
    <phoneticPr fontId="1"/>
  </si>
  <si>
    <t>SPJJ</t>
    <phoneticPr fontId="1"/>
  </si>
  <si>
    <t>SPJN  SPCS</t>
    <phoneticPr fontId="1"/>
  </si>
  <si>
    <t>Vu75</t>
    <phoneticPr fontId="1"/>
  </si>
  <si>
    <t>75サドル</t>
    <phoneticPr fontId="1"/>
  </si>
  <si>
    <t>VE25</t>
    <phoneticPr fontId="1"/>
  </si>
  <si>
    <t>VU-DS75</t>
    <phoneticPr fontId="1"/>
  </si>
  <si>
    <t>天吊金具</t>
    <rPh sb="0" eb="2">
      <t>テンツ</t>
    </rPh>
    <rPh sb="2" eb="4">
      <t>カナグ</t>
    </rPh>
    <phoneticPr fontId="1"/>
  </si>
  <si>
    <t>2分ユニオンナット付き</t>
    <rPh sb="1" eb="2">
      <t>ブ</t>
    </rPh>
    <rPh sb="9" eb="10">
      <t>ツ</t>
    </rPh>
    <phoneticPr fontId="1"/>
  </si>
  <si>
    <t>3分ユニオンナット付き</t>
    <rPh sb="1" eb="2">
      <t>ブ</t>
    </rPh>
    <rPh sb="9" eb="10">
      <t>ツ</t>
    </rPh>
    <phoneticPr fontId="1"/>
  </si>
  <si>
    <t>2分ナット</t>
    <rPh sb="1" eb="2">
      <t>ブ</t>
    </rPh>
    <phoneticPr fontId="1"/>
  </si>
  <si>
    <t>2分ユニオン</t>
    <rPh sb="1" eb="2">
      <t>ブ</t>
    </rPh>
    <phoneticPr fontId="1"/>
  </si>
  <si>
    <t>3分ユニオン</t>
    <rPh sb="1" eb="2">
      <t>ブ</t>
    </rPh>
    <phoneticPr fontId="1"/>
  </si>
  <si>
    <t>屋根置きC-YG</t>
    <rPh sb="0" eb="2">
      <t>ヤネ</t>
    </rPh>
    <rPh sb="2" eb="3">
      <t>オ</t>
    </rPh>
    <phoneticPr fontId="1"/>
  </si>
  <si>
    <t>屋根置き縦型用　C-LG</t>
    <rPh sb="0" eb="3">
      <t>ヤネオ</t>
    </rPh>
    <rPh sb="4" eb="7">
      <t>タテガタヨウ</t>
    </rPh>
    <phoneticPr fontId="1"/>
  </si>
  <si>
    <t>壁面金具　C-KG</t>
    <phoneticPr fontId="1"/>
  </si>
  <si>
    <t>２段置き　C-WG</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</si>
</sst>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ＭＳ Ｐゴシック"/>
      <family val="3"/>
      <charset val="128"/>
    </font>
    <font>
      <sz val="6"/>
      <name val="ＭＳ Ｐゴシック"/>
      <family val="3"/>
      <charset val="128"/>
    </font>
    <font>
      <b/>
      <sz val="11"/>
      <name val="ＭＳ Ｐゴシック"/>
      <family val="3"/>
      <charset val="128"/>
    </font>
    <font>
      <b/>
      <sz val="12"/>
      <name val="ＭＳ Ｐゴシック"/>
      <family val="3"/>
      <charset val="128"/>
    </font>
    <font>
      <sz val="12"/>
      <name val="ＭＳ Ｐゴシック"/>
      <family val="3"/>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2" borderId="0" xfId="0" applyFill="1">
      <alignment vertical="center"/>
    </xf>
    <xf numFmtId="0" fontId="4" fillId="2" borderId="1" xfId="0" applyFont="1" applyFill="1" applyBorder="1">
      <alignment vertical="center"/>
    </xf>
    <xf numFmtId="0" fontId="0" fillId="2" borderId="1" xfId="0" applyFill="1" applyBorder="1">
      <alignment vertical="center"/>
    </xf>
    <xf numFmtId="56" fontId="0" fillId="2" borderId="0" xfId="0" applyNumberFormat="1" applyFill="1">
      <alignment vertical="center"/>
    </xf>
    <xf numFmtId="56" fontId="0" fillId="2" borderId="1" xfId="0" applyNumberFormat="1" applyFill="1" applyBorder="1">
      <alignment vertical="center"/>
    </xf>
    <xf numFmtId="0" fontId="2" fillId="2" borderId="0" xfId="0" applyFont="1" applyFill="1">
      <alignment vertical="center"/>
    </xf>
    <xf numFmtId="0" fontId="3" fillId="2" borderId="0" xfId="0" applyFont="1" applyFill="1">
      <alignment vertical="center"/>
    </xf>
    <xf numFmtId="0" fontId="0" fillId="2" borderId="1" xfId="0" applyFill="1" applyBorder="1" applyAlignment="1">
      <alignment horizontal="right" vertical="center"/>
    </xf>
    <xf numFmtId="0" fontId="4" fillId="0" borderId="1" xfId="0" applyFont="1" applyBorder="1">
      <alignment vertical="center"/>
    </xf>
    <xf numFmtId="0" fontId="0" fillId="2" borderId="3" xfId="0" applyFill="1" applyBorder="1">
      <alignment vertical="center"/>
    </xf>
    <xf numFmtId="0" fontId="0" fillId="0" borderId="2" xfId="0" applyBorder="1">
      <alignment vertical="center"/>
    </xf>
    <xf numFmtId="0" fontId="0" fillId="0" borderId="1" xfId="0" applyBorder="1">
      <alignment vertical="center"/>
    </xf>
    <xf numFmtId="0" fontId="4" fillId="0" borderId="1" xfId="0" applyFont="1" applyFill="1" applyBorder="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ojima" id="{58190454-FE0B-48CF-9DEC-8CBA06863B3F}" userId="Kojima"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8" dT="2022-06-03T08:59:45.20" personId="{58190454-FE0B-48CF-9DEC-8CBA06863B3F}" id="{6CBD7C71-B83A-4371-8987-32B54CCC60E1}">
    <text>＠67から＠73</text>
  </threadedComment>
  <threadedComment ref="B10" dT="2022-11-30T05:51:30.69" personId="{58190454-FE0B-48CF-9DEC-8CBA06863B3F}" id="{357DBED6-C514-4F7E-82A9-8AB119A31E22}">
    <text>3200⇒3600　2022/10月分より</text>
  </threadedComment>
  <threadedComment ref="B11" dT="2022-11-30T06:17:00.60" personId="{58190454-FE0B-48CF-9DEC-8CBA06863B3F}" id="{1C153DB4-42FB-40D6-A0E4-8C663A68EE9D}">
    <text>11,300⇒11,800　2022/10月分より　　
2024-12より13500</text>
  </threadedComment>
  <threadedComment ref="B16" dT="2022-06-03T09:01:34.85" personId="{58190454-FE0B-48CF-9DEC-8CBA06863B3F}" id="{9B1DBF74-DC61-4BB1-B7BF-13FEB9EC6A2F}">
    <text>＠165</text>
  </threadedComment>
  <threadedComment ref="B16" dT="2024-11-12T23:56:01.18" personId="{58190454-FE0B-48CF-9DEC-8CBA06863B3F}" id="{D0F26328-E929-4F29-B247-691DBDAA86E2}" parentId="{9B1DBF74-DC61-4BB1-B7BF-13FEB9EC6A2F}">
    <text>＠183に変更</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T112"/>
  <sheetViews>
    <sheetView tabSelected="1" zoomScaleNormal="100" workbookViewId="0">
      <pane xSplit="4" ySplit="2" topLeftCell="E3" activePane="bottomRight" state="frozen"/>
      <selection pane="topRight" activeCell="F1" sqref="F1"/>
      <selection pane="bottomLeft" activeCell="A3" sqref="A3"/>
      <selection pane="bottomRight" activeCell="B39" sqref="B39:B42"/>
    </sheetView>
  </sheetViews>
  <sheetFormatPr defaultRowHeight="16.5" customHeight="1" x14ac:dyDescent="0.15"/>
  <cols>
    <col min="1" max="1" width="22.875" style="1" customWidth="1"/>
    <col min="2" max="2" width="6.375" style="1" customWidth="1"/>
    <col min="3" max="3" width="7.75" style="1" bestFit="1" customWidth="1"/>
    <col min="4" max="4" width="10.125" style="1" bestFit="1" customWidth="1"/>
    <col min="5" max="11" width="9.25" style="1" bestFit="1" customWidth="1"/>
    <col min="12" max="12" width="9.25" style="1" customWidth="1"/>
    <col min="13" max="23" width="9.25" style="1" bestFit="1" customWidth="1"/>
    <col min="24" max="24" width="9.25" style="1" customWidth="1"/>
    <col min="25" max="26" width="9.25" style="1" bestFit="1" customWidth="1"/>
    <col min="27" max="27" width="8.875" style="1" customWidth="1"/>
    <col min="28" max="28" width="8.75" style="1" customWidth="1"/>
    <col min="29" max="36" width="9.25" style="1" bestFit="1" customWidth="1"/>
    <col min="37" max="37" width="9.25" style="1" customWidth="1"/>
    <col min="38" max="42" width="9.25" style="1" bestFit="1" customWidth="1"/>
    <col min="43" max="43" width="8.875" style="1" customWidth="1"/>
    <col min="44" max="45" width="9.25" style="1" bestFit="1" customWidth="1"/>
    <col min="46" max="46" width="9" style="1" customWidth="1"/>
    <col min="47" max="58" width="9.25" style="1" bestFit="1" customWidth="1"/>
    <col min="59" max="59" width="8.875" style="1" customWidth="1"/>
    <col min="60" max="63" width="9.25" style="1" bestFit="1" customWidth="1"/>
    <col min="64" max="64" width="9" style="1"/>
    <col min="65" max="69" width="9.25" style="1" bestFit="1" customWidth="1"/>
    <col min="70" max="70" width="9" style="1"/>
    <col min="71" max="71" width="9.25" style="1" bestFit="1" customWidth="1"/>
    <col min="72" max="16384" width="9" style="1"/>
  </cols>
  <sheetData>
    <row r="1" spans="1:72" ht="16.5" customHeight="1" x14ac:dyDescent="0.15">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S1" s="4"/>
    </row>
    <row r="2" spans="1:72" ht="16.5" customHeight="1" x14ac:dyDescent="0.15">
      <c r="A2" s="2" t="s">
        <v>0</v>
      </c>
      <c r="B2" s="2" t="s">
        <v>1</v>
      </c>
      <c r="C2" s="2" t="s">
        <v>2</v>
      </c>
      <c r="D2" s="2" t="s">
        <v>3</v>
      </c>
      <c r="E2" s="3"/>
      <c r="F2" s="3"/>
      <c r="G2" s="3"/>
      <c r="H2" s="3"/>
      <c r="I2" s="3"/>
      <c r="J2" s="5"/>
      <c r="K2" s="5"/>
      <c r="L2" s="3"/>
      <c r="M2" s="5"/>
      <c r="N2" s="5"/>
      <c r="O2" s="5"/>
      <c r="P2" s="5"/>
      <c r="Q2" s="3"/>
      <c r="R2" s="3"/>
      <c r="S2" s="3"/>
      <c r="T2" s="5"/>
      <c r="U2" s="5"/>
      <c r="V2" s="5"/>
      <c r="W2" s="5"/>
      <c r="X2" s="5"/>
      <c r="Y2" s="5"/>
      <c r="Z2" s="5"/>
      <c r="AA2" s="5"/>
      <c r="AB2" s="3"/>
      <c r="AC2" s="5"/>
      <c r="AD2" s="3"/>
      <c r="AE2" s="5"/>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row>
    <row r="3" spans="1:72" ht="16.5" customHeight="1" x14ac:dyDescent="0.15">
      <c r="A3" s="2" t="s">
        <v>4</v>
      </c>
      <c r="B3" s="9">
        <v>744</v>
      </c>
      <c r="C3" s="2">
        <f t="shared" ref="C3:C33" si="0">SUM(E3:BT3)</f>
        <v>0</v>
      </c>
      <c r="D3" s="2">
        <f t="shared" ref="D3:D28" si="1">B3*C3</f>
        <v>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row>
    <row r="4" spans="1:72" ht="16.5" customHeight="1" x14ac:dyDescent="0.15">
      <c r="A4" s="2" t="s">
        <v>5</v>
      </c>
      <c r="B4" s="9">
        <v>109</v>
      </c>
      <c r="C4" s="2">
        <f t="shared" si="0"/>
        <v>0</v>
      </c>
      <c r="D4" s="2">
        <f t="shared" si="1"/>
        <v>0</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row>
    <row r="5" spans="1:72" ht="16.5" customHeight="1" x14ac:dyDescent="0.15">
      <c r="A5" s="2" t="s">
        <v>6</v>
      </c>
      <c r="B5" s="9">
        <v>343</v>
      </c>
      <c r="C5" s="2">
        <f t="shared" si="0"/>
        <v>0</v>
      </c>
      <c r="D5" s="2">
        <f t="shared" si="1"/>
        <v>0</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row>
    <row r="6" spans="1:72" ht="16.5" customHeight="1" x14ac:dyDescent="0.15">
      <c r="A6" s="2" t="s">
        <v>7</v>
      </c>
      <c r="B6" s="9">
        <v>251</v>
      </c>
      <c r="C6" s="2">
        <f t="shared" si="0"/>
        <v>0</v>
      </c>
      <c r="D6" s="2">
        <f t="shared" si="1"/>
        <v>0</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row>
    <row r="7" spans="1:72" ht="16.5" customHeight="1" x14ac:dyDescent="0.15">
      <c r="A7" s="2" t="s">
        <v>94</v>
      </c>
      <c r="B7" s="9">
        <v>321</v>
      </c>
      <c r="C7" s="2">
        <f t="shared" ref="C7" si="2">SUM(E7:BT7)</f>
        <v>0</v>
      </c>
      <c r="D7" s="2">
        <f t="shared" ref="D7" si="3">B7*C7</f>
        <v>0</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row>
    <row r="8" spans="1:72" ht="16.5" customHeight="1" x14ac:dyDescent="0.15">
      <c r="A8" s="2" t="s">
        <v>8</v>
      </c>
      <c r="B8" s="9">
        <v>88</v>
      </c>
      <c r="C8" s="2">
        <f t="shared" si="0"/>
        <v>0</v>
      </c>
      <c r="D8" s="2">
        <f t="shared" si="1"/>
        <v>0</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row>
    <row r="9" spans="1:72" ht="16.5" customHeight="1" x14ac:dyDescent="0.15">
      <c r="A9" s="2" t="s">
        <v>9</v>
      </c>
      <c r="B9" s="9">
        <v>354</v>
      </c>
      <c r="C9" s="2">
        <f t="shared" si="0"/>
        <v>0</v>
      </c>
      <c r="D9" s="2">
        <f t="shared" si="1"/>
        <v>0</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row>
    <row r="10" spans="1:72" ht="16.5" customHeight="1" x14ac:dyDescent="0.15">
      <c r="A10" s="2" t="s">
        <v>10</v>
      </c>
      <c r="B10" s="9">
        <v>4400</v>
      </c>
      <c r="C10" s="2">
        <f t="shared" si="0"/>
        <v>0</v>
      </c>
      <c r="D10" s="2">
        <f t="shared" si="1"/>
        <v>0</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row>
    <row r="11" spans="1:72" ht="16.5" customHeight="1" x14ac:dyDescent="0.15">
      <c r="A11" s="2" t="s">
        <v>11</v>
      </c>
      <c r="B11" s="9">
        <v>13500</v>
      </c>
      <c r="C11" s="2">
        <f t="shared" si="0"/>
        <v>0</v>
      </c>
      <c r="D11" s="2">
        <f t="shared" si="1"/>
        <v>0</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row>
    <row r="12" spans="1:72" ht="16.5" customHeight="1" x14ac:dyDescent="0.15">
      <c r="A12" s="2" t="s">
        <v>12</v>
      </c>
      <c r="B12" s="9">
        <v>23650</v>
      </c>
      <c r="C12" s="2">
        <f t="shared" si="0"/>
        <v>0</v>
      </c>
      <c r="D12" s="2">
        <f t="shared" si="1"/>
        <v>0</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row>
    <row r="13" spans="1:72" ht="16.5" customHeight="1" x14ac:dyDescent="0.15">
      <c r="A13" s="2" t="s">
        <v>13</v>
      </c>
      <c r="B13" s="9">
        <v>60</v>
      </c>
      <c r="C13" s="2">
        <f t="shared" si="0"/>
        <v>0</v>
      </c>
      <c r="D13" s="2">
        <f t="shared" si="1"/>
        <v>0</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row>
    <row r="14" spans="1:72" ht="16.5" customHeight="1" x14ac:dyDescent="0.15">
      <c r="A14" s="2" t="s">
        <v>14</v>
      </c>
      <c r="B14" s="9">
        <v>85</v>
      </c>
      <c r="C14" s="2">
        <f t="shared" si="0"/>
        <v>0</v>
      </c>
      <c r="D14" s="2">
        <f t="shared" si="1"/>
        <v>0</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row>
    <row r="15" spans="1:72" ht="16.5" customHeight="1" x14ac:dyDescent="0.15">
      <c r="A15" s="2" t="s">
        <v>15</v>
      </c>
      <c r="B15" s="9">
        <v>130</v>
      </c>
      <c r="C15" s="2">
        <f t="shared" si="0"/>
        <v>0</v>
      </c>
      <c r="D15" s="2">
        <f t="shared" si="1"/>
        <v>0</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row>
    <row r="16" spans="1:72" ht="16.5" customHeight="1" x14ac:dyDescent="0.15">
      <c r="A16" s="2" t="s">
        <v>16</v>
      </c>
      <c r="B16" s="9">
        <v>21600</v>
      </c>
      <c r="C16" s="2">
        <f t="shared" si="0"/>
        <v>0</v>
      </c>
      <c r="D16" s="2">
        <f t="shared" si="1"/>
        <v>0</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row>
    <row r="17" spans="1:72" ht="16.5" customHeight="1" x14ac:dyDescent="0.15">
      <c r="A17" s="2" t="s">
        <v>29</v>
      </c>
      <c r="B17" s="9">
        <v>47</v>
      </c>
      <c r="C17" s="2">
        <f t="shared" ref="C17" si="4">SUM(E17:BT17)</f>
        <v>0</v>
      </c>
      <c r="D17" s="2">
        <f t="shared" si="1"/>
        <v>0</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row>
    <row r="18" spans="1:72" ht="16.5" customHeight="1" x14ac:dyDescent="0.15">
      <c r="A18" s="2" t="s">
        <v>17</v>
      </c>
      <c r="B18" s="9">
        <v>1785</v>
      </c>
      <c r="C18" s="2">
        <f t="shared" si="0"/>
        <v>0</v>
      </c>
      <c r="D18" s="2">
        <f t="shared" si="1"/>
        <v>0</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row>
    <row r="19" spans="1:72" ht="16.5" customHeight="1" x14ac:dyDescent="0.15">
      <c r="A19" s="2" t="s">
        <v>18</v>
      </c>
      <c r="B19" s="9">
        <v>607</v>
      </c>
      <c r="C19" s="2">
        <f t="shared" si="0"/>
        <v>0</v>
      </c>
      <c r="D19" s="2">
        <f t="shared" si="1"/>
        <v>0</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row>
    <row r="20" spans="1:72" ht="16.5" customHeight="1" x14ac:dyDescent="0.15">
      <c r="A20" s="2" t="s">
        <v>19</v>
      </c>
      <c r="B20" s="9">
        <v>504</v>
      </c>
      <c r="C20" s="2">
        <f t="shared" si="0"/>
        <v>0</v>
      </c>
      <c r="D20" s="2">
        <f t="shared" si="1"/>
        <v>0</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row>
    <row r="21" spans="1:72" ht="16.5" customHeight="1" x14ac:dyDescent="0.15">
      <c r="A21" s="2" t="s">
        <v>20</v>
      </c>
      <c r="B21" s="9">
        <v>1294</v>
      </c>
      <c r="C21" s="2">
        <f t="shared" si="0"/>
        <v>0</v>
      </c>
      <c r="D21" s="2">
        <f t="shared" si="1"/>
        <v>0</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row>
    <row r="22" spans="1:72" ht="17.25" customHeight="1" x14ac:dyDescent="0.15">
      <c r="A22" s="3" t="s">
        <v>21</v>
      </c>
      <c r="B22" s="12">
        <v>281</v>
      </c>
      <c r="C22" s="2">
        <f>SUM(E22:BT22)</f>
        <v>0</v>
      </c>
      <c r="D22" s="2">
        <f>B22*C22</f>
        <v>0</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row>
    <row r="23" spans="1:72" ht="16.5" customHeight="1" x14ac:dyDescent="0.15">
      <c r="A23" s="2" t="s">
        <v>97</v>
      </c>
      <c r="B23" s="12">
        <v>659</v>
      </c>
      <c r="C23" s="2">
        <f>SUM(E23:BT23)</f>
        <v>0</v>
      </c>
      <c r="D23" s="2">
        <f>B23*C23</f>
        <v>0</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row>
    <row r="24" spans="1:72" ht="16.5" customHeight="1" x14ac:dyDescent="0.15">
      <c r="A24" s="2" t="s">
        <v>96</v>
      </c>
      <c r="B24" s="12">
        <v>255</v>
      </c>
      <c r="C24" s="2">
        <f>SUM(E24:BT24)</f>
        <v>0</v>
      </c>
      <c r="D24" s="2">
        <f>B24*C24</f>
        <v>0</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row>
    <row r="25" spans="1:72" ht="16.5" customHeight="1" x14ac:dyDescent="0.15">
      <c r="A25" s="2" t="s">
        <v>22</v>
      </c>
      <c r="B25" s="9">
        <v>487</v>
      </c>
      <c r="C25" s="2">
        <f>SUM(E25:BT25)</f>
        <v>0</v>
      </c>
      <c r="D25" s="2">
        <f>B25*C25</f>
        <v>0</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row>
    <row r="26" spans="1:72" ht="16.5" customHeight="1" x14ac:dyDescent="0.15">
      <c r="A26" s="2" t="s">
        <v>23</v>
      </c>
      <c r="B26" s="9">
        <v>556</v>
      </c>
      <c r="C26" s="2">
        <f>SUM(E26:BT26)</f>
        <v>0</v>
      </c>
      <c r="D26" s="2">
        <f>B26*C26</f>
        <v>0</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row>
    <row r="27" spans="1:72" ht="16.5" customHeight="1" x14ac:dyDescent="0.15">
      <c r="A27" s="3" t="s">
        <v>24</v>
      </c>
      <c r="B27" s="12">
        <v>389</v>
      </c>
      <c r="C27" s="2">
        <f t="shared" ref="C27" si="5">SUM(E27:BT27)</f>
        <v>0</v>
      </c>
      <c r="D27" s="2">
        <f t="shared" ref="D27" si="6">B27*C27</f>
        <v>0</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row>
    <row r="28" spans="1:72" ht="16.5" customHeight="1" x14ac:dyDescent="0.15">
      <c r="A28" s="3" t="s">
        <v>25</v>
      </c>
      <c r="B28" s="3">
        <v>800</v>
      </c>
      <c r="C28" s="2">
        <f t="shared" si="0"/>
        <v>0</v>
      </c>
      <c r="D28" s="2">
        <f t="shared" si="1"/>
        <v>0</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row>
    <row r="29" spans="1:72" ht="16.5" customHeight="1" x14ac:dyDescent="0.15">
      <c r="A29" s="2" t="s">
        <v>26</v>
      </c>
      <c r="B29" s="9">
        <v>321</v>
      </c>
      <c r="C29" s="2">
        <f t="shared" si="0"/>
        <v>0</v>
      </c>
      <c r="D29" s="2">
        <f>B29*C29</f>
        <v>0</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row>
    <row r="30" spans="1:72" ht="16.5" customHeight="1" x14ac:dyDescent="0.15">
      <c r="A30" s="2" t="s">
        <v>27</v>
      </c>
      <c r="B30" s="9">
        <v>147</v>
      </c>
      <c r="C30" s="2">
        <f t="shared" si="0"/>
        <v>0</v>
      </c>
      <c r="D30" s="2">
        <f>B30*C30</f>
        <v>0</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row>
    <row r="31" spans="1:72" ht="16.5" customHeight="1" x14ac:dyDescent="0.15">
      <c r="A31" s="2" t="s">
        <v>28</v>
      </c>
      <c r="B31" s="9">
        <v>286</v>
      </c>
      <c r="C31" s="2">
        <f t="shared" si="0"/>
        <v>0</v>
      </c>
      <c r="D31" s="2">
        <f>B31*C31</f>
        <v>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row>
    <row r="32" spans="1:72" ht="16.5" customHeight="1" x14ac:dyDescent="0.15">
      <c r="A32" s="2" t="s">
        <v>30</v>
      </c>
      <c r="B32" s="9">
        <v>750</v>
      </c>
      <c r="C32" s="2">
        <f t="shared" si="0"/>
        <v>0</v>
      </c>
      <c r="D32" s="2">
        <f t="shared" ref="D32:D75" si="7">B32*C32</f>
        <v>0</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row>
    <row r="33" spans="1:72" ht="16.5" customHeight="1" x14ac:dyDescent="0.15">
      <c r="A33" s="2" t="s">
        <v>31</v>
      </c>
      <c r="B33" s="9">
        <v>120</v>
      </c>
      <c r="C33" s="2">
        <f t="shared" si="0"/>
        <v>0</v>
      </c>
      <c r="D33" s="2">
        <f t="shared" si="7"/>
        <v>0</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row>
    <row r="34" spans="1:72" ht="16.5" customHeight="1" x14ac:dyDescent="0.15">
      <c r="A34" s="2" t="s">
        <v>32</v>
      </c>
      <c r="B34" s="2">
        <v>180</v>
      </c>
      <c r="C34" s="2">
        <f t="shared" ref="C34:C57" si="8">SUM(E34:BT34)</f>
        <v>0</v>
      </c>
      <c r="D34" s="2">
        <f t="shared" si="7"/>
        <v>0</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row>
    <row r="35" spans="1:72" ht="16.5" customHeight="1" x14ac:dyDescent="0.15">
      <c r="A35" s="2" t="s">
        <v>33</v>
      </c>
      <c r="B35" s="2">
        <v>510</v>
      </c>
      <c r="C35" s="2">
        <f t="shared" si="8"/>
        <v>0</v>
      </c>
      <c r="D35" s="2">
        <f t="shared" si="7"/>
        <v>0</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row>
    <row r="36" spans="1:72" ht="16.5" customHeight="1" x14ac:dyDescent="0.15">
      <c r="A36" s="2" t="s">
        <v>34</v>
      </c>
      <c r="B36" s="2">
        <v>1200</v>
      </c>
      <c r="C36" s="2">
        <f t="shared" si="8"/>
        <v>0</v>
      </c>
      <c r="D36" s="2">
        <f t="shared" si="7"/>
        <v>0</v>
      </c>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row>
    <row r="37" spans="1:72" ht="16.5" customHeight="1" x14ac:dyDescent="0.15">
      <c r="A37" s="2" t="s">
        <v>35</v>
      </c>
      <c r="B37" s="9">
        <v>120</v>
      </c>
      <c r="C37" s="2">
        <f t="shared" si="8"/>
        <v>0</v>
      </c>
      <c r="D37" s="2">
        <f t="shared" si="7"/>
        <v>0</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row>
    <row r="38" spans="1:72" ht="16.5" customHeight="1" x14ac:dyDescent="0.15">
      <c r="A38" s="2" t="s">
        <v>36</v>
      </c>
      <c r="B38" s="2">
        <v>480</v>
      </c>
      <c r="C38" s="2">
        <f t="shared" si="8"/>
        <v>0</v>
      </c>
      <c r="D38" s="2">
        <f t="shared" si="7"/>
        <v>0</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row>
    <row r="39" spans="1:72" ht="16.5" customHeight="1" x14ac:dyDescent="0.15">
      <c r="A39" s="2" t="s">
        <v>95</v>
      </c>
      <c r="B39" s="13">
        <v>1430</v>
      </c>
      <c r="C39" s="2">
        <f t="shared" si="8"/>
        <v>0</v>
      </c>
      <c r="D39" s="2">
        <f t="shared" si="7"/>
        <v>0</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row>
    <row r="40" spans="1:72" ht="16.5" customHeight="1" x14ac:dyDescent="0.15">
      <c r="A40" s="2" t="s">
        <v>37</v>
      </c>
      <c r="B40" s="13">
        <v>134</v>
      </c>
      <c r="C40" s="2">
        <f t="shared" si="8"/>
        <v>0</v>
      </c>
      <c r="D40" s="2">
        <f t="shared" si="7"/>
        <v>0</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row>
    <row r="41" spans="1:72" ht="16.5" customHeight="1" x14ac:dyDescent="0.15">
      <c r="A41" s="2" t="s">
        <v>38</v>
      </c>
      <c r="B41" s="13">
        <v>172</v>
      </c>
      <c r="C41" s="2">
        <f t="shared" si="8"/>
        <v>0</v>
      </c>
      <c r="D41" s="2">
        <f t="shared" si="7"/>
        <v>0</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row>
    <row r="42" spans="1:72" ht="15.75" customHeight="1" x14ac:dyDescent="0.15">
      <c r="A42" s="2" t="s">
        <v>39</v>
      </c>
      <c r="B42" s="13">
        <v>110</v>
      </c>
      <c r="C42" s="2">
        <f t="shared" si="8"/>
        <v>0</v>
      </c>
      <c r="D42" s="2">
        <f>B42*C42</f>
        <v>0</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row>
    <row r="43" spans="1:72" ht="15.75" customHeight="1" x14ac:dyDescent="0.15">
      <c r="A43" s="2" t="s">
        <v>40</v>
      </c>
      <c r="B43" s="2">
        <v>616</v>
      </c>
      <c r="C43" s="2">
        <f t="shared" si="8"/>
        <v>0</v>
      </c>
      <c r="D43" s="2">
        <f t="shared" si="7"/>
        <v>0</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row>
    <row r="44" spans="1:72" ht="15.75" customHeight="1" x14ac:dyDescent="0.15">
      <c r="A44" s="2" t="s">
        <v>41</v>
      </c>
      <c r="B44" s="2">
        <v>920</v>
      </c>
      <c r="C44" s="2">
        <f t="shared" ref="C44" si="9">SUM(E44:BT44)</f>
        <v>0</v>
      </c>
      <c r="D44" s="2">
        <f t="shared" ref="D44" si="10">B44*C44</f>
        <v>0</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row>
    <row r="45" spans="1:72" ht="15.75" customHeight="1" x14ac:dyDescent="0.15">
      <c r="A45" s="2" t="s">
        <v>42</v>
      </c>
      <c r="B45" s="9">
        <v>30</v>
      </c>
      <c r="C45" s="2">
        <f t="shared" si="8"/>
        <v>0</v>
      </c>
      <c r="D45" s="2">
        <f t="shared" si="7"/>
        <v>0</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row>
    <row r="46" spans="1:72" ht="15.75" customHeight="1" x14ac:dyDescent="0.15">
      <c r="A46" s="2" t="s">
        <v>43</v>
      </c>
      <c r="B46" s="2">
        <v>1</v>
      </c>
      <c r="C46" s="2">
        <f t="shared" si="8"/>
        <v>0</v>
      </c>
      <c r="D46" s="2">
        <f t="shared" si="7"/>
        <v>0</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row>
    <row r="47" spans="1:72" ht="16.5" customHeight="1" x14ac:dyDescent="0.15">
      <c r="A47" s="2" t="s">
        <v>44</v>
      </c>
      <c r="B47" s="2">
        <v>1750</v>
      </c>
      <c r="C47" s="2">
        <f t="shared" si="8"/>
        <v>0</v>
      </c>
      <c r="D47" s="2">
        <f t="shared" si="7"/>
        <v>0</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row>
    <row r="48" spans="1:72" ht="16.5" customHeight="1" x14ac:dyDescent="0.15">
      <c r="A48" s="2" t="s">
        <v>45</v>
      </c>
      <c r="B48" s="2">
        <v>850</v>
      </c>
      <c r="C48" s="2">
        <f t="shared" si="8"/>
        <v>0</v>
      </c>
      <c r="D48" s="2">
        <f t="shared" si="7"/>
        <v>0</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row>
    <row r="49" spans="1:72" ht="16.5" customHeight="1" x14ac:dyDescent="0.15">
      <c r="A49" s="2" t="s">
        <v>108</v>
      </c>
      <c r="B49" s="9">
        <v>3200</v>
      </c>
      <c r="C49" s="2">
        <f t="shared" si="8"/>
        <v>0</v>
      </c>
      <c r="D49" s="2">
        <f t="shared" si="7"/>
        <v>0</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row>
    <row r="50" spans="1:72" ht="16.5" customHeight="1" x14ac:dyDescent="0.15">
      <c r="A50" s="2" t="s">
        <v>109</v>
      </c>
      <c r="B50" s="9">
        <v>4700</v>
      </c>
      <c r="C50" s="2">
        <f t="shared" si="8"/>
        <v>0</v>
      </c>
      <c r="D50" s="2">
        <f t="shared" si="7"/>
        <v>0</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row>
    <row r="51" spans="1:72" ht="16.5" customHeight="1" x14ac:dyDescent="0.15">
      <c r="A51" s="2" t="s">
        <v>111</v>
      </c>
      <c r="B51" s="9">
        <v>8700</v>
      </c>
      <c r="C51" s="2">
        <f t="shared" si="8"/>
        <v>0</v>
      </c>
      <c r="D51" s="2">
        <f t="shared" si="7"/>
        <v>0</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row>
    <row r="52" spans="1:72" ht="16.5" customHeight="1" x14ac:dyDescent="0.15">
      <c r="A52" s="2" t="s">
        <v>102</v>
      </c>
      <c r="B52" s="9">
        <v>4000</v>
      </c>
      <c r="C52" s="2">
        <f t="shared" si="8"/>
        <v>0</v>
      </c>
      <c r="D52" s="2">
        <f t="shared" si="7"/>
        <v>0</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row>
    <row r="53" spans="1:72" ht="16.5" customHeight="1" x14ac:dyDescent="0.15">
      <c r="A53" s="2" t="s">
        <v>110</v>
      </c>
      <c r="B53" s="9">
        <v>3700</v>
      </c>
      <c r="C53" s="2">
        <f t="shared" si="8"/>
        <v>0</v>
      </c>
      <c r="D53" s="2">
        <f t="shared" si="7"/>
        <v>0</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row>
    <row r="54" spans="1:72" ht="16.5" customHeight="1" x14ac:dyDescent="0.15">
      <c r="A54" s="1" t="s">
        <v>48</v>
      </c>
      <c r="B54" s="11">
        <v>4000</v>
      </c>
      <c r="C54" s="2">
        <f t="shared" si="8"/>
        <v>0</v>
      </c>
      <c r="D54" s="2">
        <f t="shared" si="7"/>
        <v>0</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row>
    <row r="55" spans="1:72" ht="16.5" customHeight="1" x14ac:dyDescent="0.15">
      <c r="A55" s="10" t="s">
        <v>70</v>
      </c>
      <c r="B55" s="12">
        <v>350</v>
      </c>
      <c r="C55" s="2">
        <f t="shared" si="8"/>
        <v>0</v>
      </c>
      <c r="D55" s="1">
        <f t="shared" si="7"/>
        <v>0</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row>
    <row r="56" spans="1:72" ht="16.5" customHeight="1" x14ac:dyDescent="0.15">
      <c r="A56" s="2" t="s">
        <v>46</v>
      </c>
      <c r="B56" s="2">
        <v>690</v>
      </c>
      <c r="C56" s="2">
        <f t="shared" si="8"/>
        <v>0</v>
      </c>
      <c r="D56" s="2">
        <f t="shared" si="7"/>
        <v>0</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row>
    <row r="57" spans="1:72" ht="16.5" customHeight="1" x14ac:dyDescent="0.15">
      <c r="A57" s="3" t="s">
        <v>105</v>
      </c>
      <c r="B57" s="3">
        <v>75</v>
      </c>
      <c r="C57" s="2">
        <f t="shared" si="8"/>
        <v>0</v>
      </c>
      <c r="D57" s="2">
        <f t="shared" si="7"/>
        <v>0</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row>
    <row r="58" spans="1:72" ht="16.5" customHeight="1" x14ac:dyDescent="0.15">
      <c r="A58" s="3" t="s">
        <v>47</v>
      </c>
      <c r="B58" s="3">
        <v>119</v>
      </c>
      <c r="C58" s="2">
        <f t="shared" ref="C58:C81" si="11">SUM(E58:BT58)</f>
        <v>0</v>
      </c>
      <c r="D58" s="2">
        <f t="shared" si="7"/>
        <v>0</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row>
    <row r="59" spans="1:72" ht="16.5" customHeight="1" x14ac:dyDescent="0.15">
      <c r="A59" s="3" t="s">
        <v>106</v>
      </c>
      <c r="B59" s="2">
        <v>119</v>
      </c>
      <c r="C59" s="2">
        <f t="shared" si="11"/>
        <v>0</v>
      </c>
      <c r="D59" s="2">
        <f t="shared" si="7"/>
        <v>0</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row>
    <row r="60" spans="1:72" ht="16.5" customHeight="1" x14ac:dyDescent="0.15">
      <c r="A60" s="3" t="s">
        <v>107</v>
      </c>
      <c r="B60" s="2">
        <v>185</v>
      </c>
      <c r="C60" s="2">
        <f t="shared" si="11"/>
        <v>0</v>
      </c>
      <c r="D60" s="2">
        <f t="shared" si="7"/>
        <v>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row>
    <row r="61" spans="1:72" ht="17.25" customHeight="1" x14ac:dyDescent="0.15">
      <c r="A61" s="3" t="s">
        <v>103</v>
      </c>
      <c r="B61" s="9">
        <v>238</v>
      </c>
      <c r="C61" s="2">
        <f t="shared" si="11"/>
        <v>0</v>
      </c>
      <c r="D61" s="2">
        <f t="shared" si="7"/>
        <v>0</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row>
    <row r="62" spans="1:72" ht="17.25" customHeight="1" x14ac:dyDescent="0.15">
      <c r="A62" s="3" t="s">
        <v>104</v>
      </c>
      <c r="B62" s="9">
        <v>383</v>
      </c>
      <c r="C62" s="2">
        <f t="shared" si="11"/>
        <v>0</v>
      </c>
      <c r="D62" s="2">
        <f t="shared" si="7"/>
        <v>0</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row>
    <row r="63" spans="1:72" ht="24" customHeight="1" x14ac:dyDescent="0.15">
      <c r="A63" s="2" t="s">
        <v>49</v>
      </c>
      <c r="B63" s="2">
        <v>366</v>
      </c>
      <c r="C63" s="2">
        <f t="shared" si="11"/>
        <v>0</v>
      </c>
      <c r="D63" s="2">
        <f>B63*C63</f>
        <v>0</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row>
    <row r="64" spans="1:72" ht="16.5" customHeight="1" x14ac:dyDescent="0.15">
      <c r="A64" s="2" t="s">
        <v>50</v>
      </c>
      <c r="B64" s="2">
        <v>402</v>
      </c>
      <c r="C64" s="2">
        <f t="shared" si="11"/>
        <v>0</v>
      </c>
      <c r="D64" s="2">
        <f>B64*C64</f>
        <v>0</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row>
    <row r="65" spans="1:72" ht="16.5" customHeight="1" x14ac:dyDescent="0.15">
      <c r="A65" s="2" t="s">
        <v>51</v>
      </c>
      <c r="B65" s="2">
        <v>831</v>
      </c>
      <c r="C65" s="2">
        <f t="shared" si="11"/>
        <v>0</v>
      </c>
      <c r="D65" s="2">
        <f>B65*C65</f>
        <v>0</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row>
    <row r="66" spans="1:72" ht="16.5" customHeight="1" x14ac:dyDescent="0.15">
      <c r="A66" s="2" t="s">
        <v>52</v>
      </c>
      <c r="B66" s="2">
        <v>924</v>
      </c>
      <c r="C66" s="2">
        <f t="shared" si="11"/>
        <v>0</v>
      </c>
      <c r="D66" s="2">
        <f t="shared" si="7"/>
        <v>0</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row>
    <row r="67" spans="1:72" ht="16.5" customHeight="1" x14ac:dyDescent="0.15">
      <c r="A67" s="2" t="s">
        <v>53</v>
      </c>
      <c r="B67" s="2">
        <v>110</v>
      </c>
      <c r="C67" s="2">
        <f t="shared" si="11"/>
        <v>0</v>
      </c>
      <c r="D67" s="2">
        <f t="shared" si="7"/>
        <v>0</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row>
    <row r="68" spans="1:72" ht="16.5" customHeight="1" x14ac:dyDescent="0.15">
      <c r="A68" s="2" t="s">
        <v>54</v>
      </c>
      <c r="B68" s="2">
        <v>193</v>
      </c>
      <c r="C68" s="2">
        <f t="shared" si="11"/>
        <v>0</v>
      </c>
      <c r="D68" s="2">
        <f t="shared" si="7"/>
        <v>0</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row>
    <row r="69" spans="1:72" ht="16.5" customHeight="1" x14ac:dyDescent="0.15">
      <c r="A69" s="2" t="s">
        <v>55</v>
      </c>
      <c r="B69" s="2">
        <v>242</v>
      </c>
      <c r="C69" s="2">
        <f t="shared" si="11"/>
        <v>0</v>
      </c>
      <c r="D69" s="2">
        <f t="shared" si="7"/>
        <v>0</v>
      </c>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row>
    <row r="70" spans="1:72" ht="16.5" customHeight="1" x14ac:dyDescent="0.15">
      <c r="A70" s="2" t="s">
        <v>56</v>
      </c>
      <c r="B70" s="2">
        <v>556</v>
      </c>
      <c r="C70" s="2">
        <f t="shared" si="11"/>
        <v>0</v>
      </c>
      <c r="D70" s="2">
        <f t="shared" si="7"/>
        <v>0</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row>
    <row r="71" spans="1:72" ht="16.5" customHeight="1" x14ac:dyDescent="0.15">
      <c r="A71" s="2" t="s">
        <v>57</v>
      </c>
      <c r="B71" s="2">
        <v>413</v>
      </c>
      <c r="C71" s="2">
        <f t="shared" si="11"/>
        <v>0</v>
      </c>
      <c r="D71" s="2">
        <f t="shared" si="7"/>
        <v>0</v>
      </c>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row>
    <row r="72" spans="1:72" ht="16.5" customHeight="1" x14ac:dyDescent="0.15">
      <c r="A72" s="2" t="s">
        <v>58</v>
      </c>
      <c r="B72" s="2">
        <v>275</v>
      </c>
      <c r="C72" s="2">
        <f t="shared" si="11"/>
        <v>0</v>
      </c>
      <c r="D72" s="2">
        <f t="shared" si="7"/>
        <v>0</v>
      </c>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row>
    <row r="73" spans="1:72" ht="16.5" customHeight="1" x14ac:dyDescent="0.15">
      <c r="A73" s="2" t="s">
        <v>59</v>
      </c>
      <c r="B73" s="2">
        <v>396</v>
      </c>
      <c r="C73" s="2">
        <f t="shared" si="11"/>
        <v>0</v>
      </c>
      <c r="D73" s="2">
        <f t="shared" si="7"/>
        <v>0</v>
      </c>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row>
    <row r="74" spans="1:72" ht="16.5" customHeight="1" x14ac:dyDescent="0.15">
      <c r="A74" s="2" t="s">
        <v>60</v>
      </c>
      <c r="B74" s="2">
        <v>292</v>
      </c>
      <c r="C74" s="2">
        <f t="shared" si="11"/>
        <v>0</v>
      </c>
      <c r="D74" s="2">
        <f t="shared" si="7"/>
        <v>0</v>
      </c>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row>
    <row r="75" spans="1:72" ht="16.5" customHeight="1" x14ac:dyDescent="0.15">
      <c r="A75" s="2" t="s">
        <v>61</v>
      </c>
      <c r="B75" s="2">
        <v>556</v>
      </c>
      <c r="C75" s="2">
        <f t="shared" si="11"/>
        <v>0</v>
      </c>
      <c r="D75" s="2">
        <f t="shared" si="7"/>
        <v>0</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row>
    <row r="76" spans="1:72" ht="16.5" customHeight="1" x14ac:dyDescent="0.15">
      <c r="A76" s="2" t="s">
        <v>62</v>
      </c>
      <c r="B76" s="2">
        <v>732</v>
      </c>
      <c r="C76" s="2">
        <f t="shared" si="11"/>
        <v>0</v>
      </c>
      <c r="D76" s="2">
        <f>B76*C76</f>
        <v>0</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row>
    <row r="77" spans="1:72" ht="16.5" customHeight="1" x14ac:dyDescent="0.15">
      <c r="A77" s="2" t="s">
        <v>63</v>
      </c>
      <c r="B77" s="2">
        <v>1650</v>
      </c>
      <c r="C77" s="2">
        <f t="shared" si="11"/>
        <v>0</v>
      </c>
      <c r="D77" s="2">
        <f>B77*C77</f>
        <v>0</v>
      </c>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row>
    <row r="78" spans="1:72" ht="16.5" customHeight="1" x14ac:dyDescent="0.15">
      <c r="A78" s="2" t="s">
        <v>64</v>
      </c>
      <c r="B78" s="2">
        <v>205</v>
      </c>
      <c r="C78" s="2">
        <f t="shared" si="11"/>
        <v>0</v>
      </c>
      <c r="D78" s="2">
        <f t="shared" ref="D78:D85" si="12">B78*C78</f>
        <v>0</v>
      </c>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row>
    <row r="79" spans="1:72" ht="16.5" customHeight="1" x14ac:dyDescent="0.15">
      <c r="A79" s="2" t="s">
        <v>65</v>
      </c>
      <c r="B79" s="2">
        <v>2574</v>
      </c>
      <c r="C79" s="2">
        <f t="shared" si="11"/>
        <v>0</v>
      </c>
      <c r="D79" s="2">
        <f t="shared" si="12"/>
        <v>0</v>
      </c>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row>
    <row r="80" spans="1:72" ht="16.5" customHeight="1" x14ac:dyDescent="0.15">
      <c r="A80" s="2" t="s">
        <v>66</v>
      </c>
      <c r="B80" s="2">
        <v>442</v>
      </c>
      <c r="C80" s="2">
        <f t="shared" si="11"/>
        <v>0</v>
      </c>
      <c r="D80" s="2">
        <f t="shared" si="12"/>
        <v>0</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row>
    <row r="81" spans="1:72" ht="16.5" customHeight="1" x14ac:dyDescent="0.15">
      <c r="A81" s="2" t="s">
        <v>67</v>
      </c>
      <c r="B81" s="2">
        <v>891</v>
      </c>
      <c r="C81" s="2">
        <f t="shared" si="11"/>
        <v>0</v>
      </c>
      <c r="D81" s="2">
        <f t="shared" si="12"/>
        <v>0</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row>
    <row r="82" spans="1:72" ht="16.5" customHeight="1" x14ac:dyDescent="0.15">
      <c r="A82" s="2" t="s">
        <v>68</v>
      </c>
      <c r="B82" s="2">
        <v>891</v>
      </c>
      <c r="C82" s="2">
        <f t="shared" ref="C82:C109" si="13">SUM(E82:BT82)</f>
        <v>0</v>
      </c>
      <c r="D82" s="2">
        <f t="shared" si="12"/>
        <v>0</v>
      </c>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row>
    <row r="83" spans="1:72" ht="16.5" customHeight="1" x14ac:dyDescent="0.15">
      <c r="A83" s="2" t="s">
        <v>69</v>
      </c>
      <c r="B83" s="2">
        <v>110</v>
      </c>
      <c r="C83" s="2">
        <f t="shared" si="13"/>
        <v>0</v>
      </c>
      <c r="D83" s="2">
        <f t="shared" si="12"/>
        <v>0</v>
      </c>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row>
    <row r="84" spans="1:72" ht="16.5" customHeight="1" x14ac:dyDescent="0.15">
      <c r="A84" s="2" t="s">
        <v>71</v>
      </c>
      <c r="B84" s="2">
        <v>1490</v>
      </c>
      <c r="C84" s="2">
        <f t="shared" si="13"/>
        <v>0</v>
      </c>
      <c r="D84" s="2">
        <f t="shared" si="12"/>
        <v>0</v>
      </c>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row>
    <row r="85" spans="1:72" ht="16.5" customHeight="1" x14ac:dyDescent="0.15">
      <c r="A85" s="2" t="s">
        <v>72</v>
      </c>
      <c r="B85" s="2">
        <v>41</v>
      </c>
      <c r="C85" s="2">
        <f t="shared" si="13"/>
        <v>0</v>
      </c>
      <c r="D85" s="2">
        <f t="shared" si="12"/>
        <v>0</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row>
    <row r="86" spans="1:72" ht="16.5" customHeight="1" x14ac:dyDescent="0.15">
      <c r="A86" s="2" t="s">
        <v>73</v>
      </c>
      <c r="B86" s="2">
        <v>150</v>
      </c>
      <c r="C86" s="2">
        <f t="shared" si="13"/>
        <v>0</v>
      </c>
      <c r="D86" s="2">
        <f>B86*C86</f>
        <v>0</v>
      </c>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row>
    <row r="87" spans="1:72" ht="16.5" customHeight="1" x14ac:dyDescent="0.15">
      <c r="A87" s="2" t="s">
        <v>74</v>
      </c>
      <c r="B87" s="2">
        <v>360</v>
      </c>
      <c r="C87" s="2">
        <f t="shared" si="13"/>
        <v>0</v>
      </c>
      <c r="D87" s="2">
        <f t="shared" ref="D87:D109" si="14">B87*C87</f>
        <v>0</v>
      </c>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row>
    <row r="88" spans="1:72" ht="16.5" customHeight="1" x14ac:dyDescent="0.15">
      <c r="A88" s="2" t="s">
        <v>75</v>
      </c>
      <c r="B88" s="2">
        <v>30</v>
      </c>
      <c r="C88" s="2">
        <f t="shared" si="13"/>
        <v>0</v>
      </c>
      <c r="D88" s="2">
        <f t="shared" si="14"/>
        <v>0</v>
      </c>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row>
    <row r="89" spans="1:72" ht="16.5" customHeight="1" x14ac:dyDescent="0.15">
      <c r="A89" s="2" t="s">
        <v>76</v>
      </c>
      <c r="B89" s="2">
        <v>40</v>
      </c>
      <c r="C89" s="2">
        <f t="shared" ref="C89" si="15">SUM(E89:BT89)</f>
        <v>0</v>
      </c>
      <c r="D89" s="2">
        <f t="shared" ref="D89" si="16">B89*C89</f>
        <v>0</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row>
    <row r="90" spans="1:72" ht="16.5" customHeight="1" x14ac:dyDescent="0.15">
      <c r="A90" s="1" t="s">
        <v>77</v>
      </c>
      <c r="B90" s="3">
        <v>2000</v>
      </c>
      <c r="C90" s="2">
        <f t="shared" si="13"/>
        <v>0</v>
      </c>
      <c r="D90" s="1">
        <f t="shared" si="14"/>
        <v>0</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row>
    <row r="91" spans="1:72" ht="16.5" customHeight="1" x14ac:dyDescent="0.15">
      <c r="A91" s="2" t="s">
        <v>78</v>
      </c>
      <c r="B91" s="2">
        <v>2800</v>
      </c>
      <c r="C91" s="2">
        <f t="shared" si="13"/>
        <v>0</v>
      </c>
      <c r="D91" s="2">
        <f t="shared" si="14"/>
        <v>0</v>
      </c>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row>
    <row r="92" spans="1:72" ht="16.5" customHeight="1" x14ac:dyDescent="0.15">
      <c r="A92" s="2" t="s">
        <v>79</v>
      </c>
      <c r="B92" s="9">
        <v>136</v>
      </c>
      <c r="C92" s="2">
        <f t="shared" si="13"/>
        <v>0</v>
      </c>
      <c r="D92" s="2">
        <f t="shared" si="14"/>
        <v>0</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row>
    <row r="93" spans="1:72" ht="16.5" customHeight="1" x14ac:dyDescent="0.15">
      <c r="A93" s="2" t="s">
        <v>80</v>
      </c>
      <c r="B93" s="2">
        <v>35000</v>
      </c>
      <c r="C93" s="2">
        <f t="shared" si="13"/>
        <v>0</v>
      </c>
      <c r="D93" s="2">
        <f t="shared" si="14"/>
        <v>0</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row>
    <row r="94" spans="1:72" ht="16.5" customHeight="1" x14ac:dyDescent="0.15">
      <c r="A94" s="2" t="s">
        <v>81</v>
      </c>
      <c r="B94" s="2">
        <v>37000</v>
      </c>
      <c r="C94" s="2">
        <f t="shared" si="13"/>
        <v>0</v>
      </c>
      <c r="D94" s="2">
        <f t="shared" si="14"/>
        <v>0</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row>
    <row r="95" spans="1:72" ht="16.5" customHeight="1" x14ac:dyDescent="0.15">
      <c r="A95" s="2" t="s">
        <v>82</v>
      </c>
      <c r="B95" s="2">
        <v>41000</v>
      </c>
      <c r="C95" s="2">
        <f t="shared" si="13"/>
        <v>0</v>
      </c>
      <c r="D95" s="2">
        <f t="shared" si="14"/>
        <v>0</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row>
    <row r="96" spans="1:72" ht="16.5" customHeight="1" x14ac:dyDescent="0.15">
      <c r="A96" s="3" t="s">
        <v>83</v>
      </c>
      <c r="B96" s="3">
        <v>60000</v>
      </c>
      <c r="C96" s="2">
        <f t="shared" si="13"/>
        <v>0</v>
      </c>
      <c r="D96" s="2">
        <f t="shared" si="14"/>
        <v>0</v>
      </c>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row>
    <row r="97" spans="1:72" ht="16.5" customHeight="1" x14ac:dyDescent="0.15">
      <c r="A97" s="2" t="s">
        <v>84</v>
      </c>
      <c r="B97" s="2">
        <v>74</v>
      </c>
      <c r="C97" s="2">
        <f t="shared" si="13"/>
        <v>0</v>
      </c>
      <c r="D97" s="2">
        <f t="shared" si="14"/>
        <v>0</v>
      </c>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row>
    <row r="98" spans="1:72" ht="16.5" customHeight="1" x14ac:dyDescent="0.15">
      <c r="A98" s="2" t="s">
        <v>85</v>
      </c>
      <c r="B98" s="2">
        <v>290</v>
      </c>
      <c r="C98" s="2">
        <f t="shared" si="13"/>
        <v>0</v>
      </c>
      <c r="D98" s="2">
        <f t="shared" si="14"/>
        <v>0</v>
      </c>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8"/>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row>
    <row r="99" spans="1:72" ht="16.5" customHeight="1" x14ac:dyDescent="0.15">
      <c r="A99" s="2" t="s">
        <v>86</v>
      </c>
      <c r="B99" s="2">
        <v>21780</v>
      </c>
      <c r="C99" s="2">
        <f t="shared" ref="C99" si="17">SUM(E99:BT99)</f>
        <v>0</v>
      </c>
      <c r="D99" s="2">
        <f t="shared" si="14"/>
        <v>0</v>
      </c>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8"/>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row>
    <row r="100" spans="1:72" ht="16.5" customHeight="1" x14ac:dyDescent="0.15">
      <c r="A100" s="2" t="s">
        <v>43</v>
      </c>
      <c r="B100" s="2">
        <v>1</v>
      </c>
      <c r="C100" s="2">
        <f t="shared" si="13"/>
        <v>0</v>
      </c>
      <c r="D100" s="2">
        <f t="shared" si="14"/>
        <v>0</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row>
    <row r="101" spans="1:72" ht="16.5" customHeight="1" x14ac:dyDescent="0.15">
      <c r="A101" s="2" t="s">
        <v>87</v>
      </c>
      <c r="B101" s="2">
        <v>1</v>
      </c>
      <c r="C101" s="2">
        <f>SUM(E101:BT101)</f>
        <v>0</v>
      </c>
      <c r="D101" s="2">
        <f>B101*C101</f>
        <v>0</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row>
    <row r="102" spans="1:72" ht="16.5" customHeight="1" x14ac:dyDescent="0.15">
      <c r="A102" s="2" t="s">
        <v>88</v>
      </c>
      <c r="B102" s="2">
        <v>1</v>
      </c>
      <c r="C102" s="2">
        <f>SUM(E102:BT102)</f>
        <v>0</v>
      </c>
      <c r="D102" s="2">
        <f>B102*C102</f>
        <v>0</v>
      </c>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8"/>
      <c r="AU102" s="8"/>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row>
    <row r="103" spans="1:72" ht="16.5" customHeight="1" x14ac:dyDescent="0.15">
      <c r="A103" s="2" t="s">
        <v>89</v>
      </c>
      <c r="B103" s="2">
        <v>1000</v>
      </c>
      <c r="C103" s="2">
        <f t="shared" si="13"/>
        <v>0</v>
      </c>
      <c r="D103" s="2">
        <f t="shared" si="14"/>
        <v>0</v>
      </c>
      <c r="E103" s="8"/>
      <c r="F103" s="8"/>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8"/>
      <c r="BM103" s="8"/>
      <c r="BN103" s="3"/>
      <c r="BO103" s="3"/>
      <c r="BP103" s="3"/>
      <c r="BQ103" s="3"/>
      <c r="BR103" s="8"/>
      <c r="BS103" s="3"/>
      <c r="BT103" s="3"/>
    </row>
    <row r="104" spans="1:72" ht="16.5" customHeight="1" x14ac:dyDescent="0.15">
      <c r="A104" s="2" t="s">
        <v>98</v>
      </c>
      <c r="B104" s="2">
        <v>2000</v>
      </c>
      <c r="C104" s="2">
        <f t="shared" si="13"/>
        <v>0</v>
      </c>
      <c r="D104" s="2">
        <f t="shared" si="14"/>
        <v>0</v>
      </c>
      <c r="E104" s="8"/>
      <c r="F104" s="8"/>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8"/>
      <c r="BM104" s="8"/>
      <c r="BN104" s="3"/>
      <c r="BO104" s="3"/>
      <c r="BP104" s="3"/>
      <c r="BQ104" s="3"/>
      <c r="BR104" s="8"/>
      <c r="BS104" s="3"/>
      <c r="BT104" s="3"/>
    </row>
    <row r="105" spans="1:72" ht="16.5" customHeight="1" x14ac:dyDescent="0.15">
      <c r="A105" s="2" t="s">
        <v>99</v>
      </c>
      <c r="B105" s="2">
        <v>160</v>
      </c>
      <c r="C105" s="2">
        <f t="shared" si="13"/>
        <v>0</v>
      </c>
      <c r="D105" s="2">
        <f t="shared" si="14"/>
        <v>0</v>
      </c>
      <c r="E105" s="8"/>
      <c r="F105" s="8"/>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8"/>
      <c r="BM105" s="8"/>
      <c r="BN105" s="3"/>
      <c r="BO105" s="3"/>
      <c r="BP105" s="3"/>
      <c r="BQ105" s="3"/>
      <c r="BR105" s="8"/>
      <c r="BS105" s="3"/>
      <c r="BT105" s="3"/>
    </row>
    <row r="106" spans="1:72" ht="16.5" customHeight="1" x14ac:dyDescent="0.15">
      <c r="A106" s="2" t="s">
        <v>100</v>
      </c>
      <c r="B106" s="2">
        <v>1000</v>
      </c>
      <c r="C106" s="2">
        <f t="shared" si="13"/>
        <v>0</v>
      </c>
      <c r="D106" s="2">
        <f t="shared" si="14"/>
        <v>0</v>
      </c>
      <c r="E106" s="8"/>
      <c r="F106" s="8"/>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8"/>
      <c r="BM106" s="8"/>
      <c r="BN106" s="3"/>
      <c r="BO106" s="3"/>
      <c r="BP106" s="3"/>
      <c r="BQ106" s="3"/>
      <c r="BR106" s="8"/>
      <c r="BS106" s="3"/>
      <c r="BT106" s="3"/>
    </row>
    <row r="107" spans="1:72" ht="16.5" customHeight="1" x14ac:dyDescent="0.15">
      <c r="A107" s="2" t="s">
        <v>101</v>
      </c>
      <c r="B107" s="2">
        <v>155</v>
      </c>
      <c r="C107" s="2">
        <f t="shared" si="13"/>
        <v>0</v>
      </c>
      <c r="D107" s="2">
        <f t="shared" si="14"/>
        <v>0</v>
      </c>
      <c r="E107" s="8"/>
      <c r="F107" s="8"/>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8"/>
      <c r="BM107" s="8"/>
      <c r="BN107" s="3"/>
      <c r="BO107" s="3"/>
      <c r="BP107" s="3"/>
      <c r="BQ107" s="3"/>
      <c r="BR107" s="8"/>
      <c r="BS107" s="3"/>
      <c r="BT107" s="3"/>
    </row>
    <row r="108" spans="1:72" ht="16.5" customHeight="1" x14ac:dyDescent="0.15">
      <c r="A108" s="2" t="s">
        <v>90</v>
      </c>
      <c r="B108" s="2">
        <v>9000</v>
      </c>
      <c r="C108" s="2">
        <f t="shared" si="13"/>
        <v>0</v>
      </c>
      <c r="D108" s="2">
        <f t="shared" si="14"/>
        <v>0</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row>
    <row r="109" spans="1:72" ht="16.5" customHeight="1" x14ac:dyDescent="0.15">
      <c r="A109" s="2" t="s">
        <v>91</v>
      </c>
      <c r="B109" s="2">
        <v>2000</v>
      </c>
      <c r="C109" s="2">
        <f t="shared" si="13"/>
        <v>0</v>
      </c>
      <c r="D109" s="2">
        <f t="shared" si="14"/>
        <v>0</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row>
    <row r="110" spans="1:72" ht="16.5" customHeight="1" x14ac:dyDescent="0.15">
      <c r="C110" s="6" t="s">
        <v>3</v>
      </c>
      <c r="D110" s="7">
        <f>SUM(D3:D109)</f>
        <v>0</v>
      </c>
    </row>
    <row r="111" spans="1:72" ht="16.5" customHeight="1" x14ac:dyDescent="0.15">
      <c r="C111" s="6" t="s">
        <v>92</v>
      </c>
      <c r="D111" s="7">
        <f>ROUND(0.1*D110,0)</f>
        <v>0</v>
      </c>
    </row>
    <row r="112" spans="1:72" ht="16.5" customHeight="1" x14ac:dyDescent="0.15">
      <c r="C112" s="6" t="s">
        <v>93</v>
      </c>
      <c r="D112" s="7">
        <f>D110+D111</f>
        <v>0</v>
      </c>
    </row>
  </sheetData>
  <phoneticPr fontId="1"/>
  <pageMargins left="0.78700000000000003" right="0.78700000000000003" top="0.98399999999999999" bottom="0.98399999999999999" header="0.51200000000000001" footer="0.51200000000000001"/>
  <pageSetup paperSize="9" scale="38" fitToWidth="0"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811308B82393345B95E5F0B94FB15CF" ma:contentTypeVersion="9" ma:contentTypeDescription="新しいドキュメントを作成します。" ma:contentTypeScope="" ma:versionID="abbe066c3b03fda583606930702f2ff2">
  <xsd:schema xmlns:xsd="http://www.w3.org/2001/XMLSchema" xmlns:xs="http://www.w3.org/2001/XMLSchema" xmlns:p="http://schemas.microsoft.com/office/2006/metadata/properties" xmlns:ns2="8591ffcc-27fc-42fb-931f-af539c7ace3b" xmlns:ns3="49ff6884-c76d-4694-a8cf-0940ec0ba9e3" targetNamespace="http://schemas.microsoft.com/office/2006/metadata/properties" ma:root="true" ma:fieldsID="a5b24ca0c1ec25e57a65afed075eef15" ns2:_="" ns3:_="">
    <xsd:import namespace="8591ffcc-27fc-42fb-931f-af539c7ace3b"/>
    <xsd:import namespace="49ff6884-c76d-4694-a8cf-0940ec0ba9e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91ffcc-27fc-42fb-931f-af539c7ace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ff6884-c76d-4694-a8cf-0940ec0ba9e3"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5CDBE9-81A4-4772-8F5C-ABC335A1FB2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C635709-EAEF-46E4-AA5E-E6FD75EFCFAC}">
  <ds:schemaRefs>
    <ds:schemaRef ds:uri="http://schemas.microsoft.com/sharepoint/v3/contenttype/forms"/>
  </ds:schemaRefs>
</ds:datastoreItem>
</file>

<file path=customXml/itemProps3.xml><?xml version="1.0" encoding="utf-8"?>
<ds:datastoreItem xmlns:ds="http://schemas.openxmlformats.org/officeDocument/2006/customXml" ds:itemID="{5C5F9847-2052-4A3C-A587-B53C4F6DE2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91ffcc-27fc-42fb-931f-af539c7ace3b"/>
    <ds:schemaRef ds:uri="49ff6884-c76d-4694-a8cf-0940ec0ba9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HHH</dc:creator>
  <cp:keywords/>
  <dc:description/>
  <cp:lastModifiedBy>㈱プラスカンパニー多田</cp:lastModifiedBy>
  <cp:revision/>
  <dcterms:created xsi:type="dcterms:W3CDTF">2010-07-20T06:47:56Z</dcterms:created>
  <dcterms:modified xsi:type="dcterms:W3CDTF">2026-01-09T00:00:06Z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0x0101008811308B82393345B95E5F0B94FB15CF</vt:lpwstr>
  </property>
</Properties>
</file>