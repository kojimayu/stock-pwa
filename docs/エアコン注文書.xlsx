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luscompany7.sharepoint.com/sites/pluscompany/Shared Documents/General/"/>
    </mc:Choice>
  </mc:AlternateContent>
  <xr:revisionPtr revIDLastSave="853" documentId="6_{AD6A0CF4-D2B0-4EB4-9389-BA52B4D83CBA}" xr6:coauthVersionLast="47" xr6:coauthVersionMax="47" xr10:uidLastSave="{8560EB33-9C54-4005-A1F0-193777BC7C6E}"/>
  <bookViews>
    <workbookView xWindow="-120" yWindow="-120" windowWidth="29040" windowHeight="15720" tabRatio="763" firstSheet="1" activeTab="4" xr2:uid="{00000000-000D-0000-FFFF-FFFF00000000}"/>
  </bookViews>
  <sheets>
    <sheet name="ジン" sheetId="19" r:id="rId1"/>
    <sheet name="その他" sheetId="43" r:id="rId2"/>
    <sheet name="堀江" sheetId="20" r:id="rId3"/>
    <sheet name="内海" sheetId="42" r:id="rId4"/>
    <sheet name="新築用" sheetId="22" r:id="rId5"/>
    <sheet name="パートナーズ用（zion）" sheetId="25" r:id="rId6"/>
    <sheet name="パートナーズ用（彦根用）" sheetId="35" r:id="rId7"/>
    <sheet name="パートナーズ用（名古屋用）" sheetId="36" r:id="rId8"/>
    <sheet name="パートナーズ用 (尼崎)" sheetId="38" r:id="rId9"/>
    <sheet name="パートナーズ用 (京都)" sheetId="39" r:id="rId10"/>
    <sheet name="パートナーズ用(小松)" sheetId="44" r:id="rId11"/>
    <sheet name="リモコン" sheetId="40" r:id="rId12"/>
    <sheet name="個別" sheetId="37" r:id="rId13"/>
    <sheet name="風向ガイド" sheetId="33" r:id="rId14"/>
    <sheet name="ルーバー" sheetId="41" r:id="rId15"/>
    <sheet name="前面" sheetId="45" r:id="rId16"/>
    <sheet name="左下 (3)" sheetId="34" r:id="rId17"/>
    <sheet name="RANDY" sheetId="23" r:id="rId18"/>
    <sheet name="粉浜入れ" sheetId="26" r:id="rId19"/>
    <sheet name="天板大東" sheetId="46" r:id="rId20"/>
    <sheet name="天板" sheetId="24" r:id="rId21"/>
    <sheet name="天板 (プラス)" sheetId="27" r:id="rId22"/>
    <sheet name="左下" sheetId="28" r:id="rId23"/>
    <sheet name="天板 (2)" sheetId="29" r:id="rId24"/>
    <sheet name="天板 (プラス) (2)" sheetId="30" r:id="rId25"/>
    <sheet name="左下 (2)" sheetId="31" r:id="rId26"/>
  </sheets>
  <definedNames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4">新築用!$A$2:$R$44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46" l="1"/>
  <c r="P39" i="46" s="1"/>
  <c r="P38" i="45"/>
  <c r="P37" i="45"/>
  <c r="P36" i="45"/>
  <c r="P35" i="45"/>
  <c r="P34" i="45"/>
  <c r="P33" i="45"/>
  <c r="P32" i="45"/>
  <c r="P31" i="45"/>
  <c r="P30" i="45"/>
  <c r="P29" i="45"/>
  <c r="P28" i="45"/>
  <c r="P27" i="45"/>
  <c r="P26" i="45"/>
  <c r="P25" i="45"/>
  <c r="P24" i="45"/>
  <c r="P23" i="45"/>
  <c r="P22" i="45"/>
  <c r="P21" i="45"/>
  <c r="P20" i="45"/>
  <c r="P39" i="45" s="1"/>
  <c r="P38" i="44"/>
  <c r="P37" i="44"/>
  <c r="P36" i="44"/>
  <c r="P35" i="44"/>
  <c r="P34" i="44"/>
  <c r="P33" i="44"/>
  <c r="P32" i="44"/>
  <c r="P31" i="44"/>
  <c r="P30" i="44"/>
  <c r="P29" i="44"/>
  <c r="P28" i="44"/>
  <c r="P27" i="44"/>
  <c r="P26" i="44"/>
  <c r="P25" i="44"/>
  <c r="P24" i="44"/>
  <c r="P23" i="44"/>
  <c r="P22" i="44"/>
  <c r="P21" i="44"/>
  <c r="P20" i="44"/>
  <c r="A4" i="44"/>
  <c r="P20" i="43"/>
  <c r="P38" i="42"/>
  <c r="P37" i="42"/>
  <c r="P36" i="42"/>
  <c r="P35" i="42"/>
  <c r="P34" i="42"/>
  <c r="P33" i="42"/>
  <c r="P32" i="42"/>
  <c r="P31" i="42"/>
  <c r="P30" i="42"/>
  <c r="P29" i="42"/>
  <c r="P28" i="42"/>
  <c r="P27" i="42"/>
  <c r="P26" i="42"/>
  <c r="P25" i="42"/>
  <c r="P24" i="42"/>
  <c r="P23" i="42"/>
  <c r="P22" i="42"/>
  <c r="P21" i="42"/>
  <c r="P20" i="42"/>
  <c r="A4" i="42"/>
  <c r="A4" i="35"/>
  <c r="P38" i="41"/>
  <c r="P37" i="41"/>
  <c r="P36" i="41"/>
  <c r="P35" i="41"/>
  <c r="P34" i="41"/>
  <c r="P33" i="41"/>
  <c r="P32" i="41"/>
  <c r="P31" i="41"/>
  <c r="P30" i="41"/>
  <c r="P29" i="41"/>
  <c r="P28" i="41"/>
  <c r="P27" i="41"/>
  <c r="P26" i="41"/>
  <c r="P25" i="41"/>
  <c r="P24" i="41"/>
  <c r="P23" i="41"/>
  <c r="P22" i="41"/>
  <c r="P21" i="41"/>
  <c r="P20" i="41"/>
  <c r="P21" i="29"/>
  <c r="P20" i="29"/>
  <c r="P38" i="40"/>
  <c r="P37" i="40"/>
  <c r="P36" i="40"/>
  <c r="P35" i="40"/>
  <c r="P34" i="40"/>
  <c r="P33" i="40"/>
  <c r="P32" i="40"/>
  <c r="P31" i="40"/>
  <c r="P30" i="40"/>
  <c r="P29" i="40"/>
  <c r="P28" i="40"/>
  <c r="P27" i="40"/>
  <c r="P26" i="40"/>
  <c r="P25" i="40"/>
  <c r="P24" i="40"/>
  <c r="P23" i="40"/>
  <c r="P22" i="40"/>
  <c r="P21" i="40"/>
  <c r="P20" i="40"/>
  <c r="P38" i="39"/>
  <c r="P37" i="39"/>
  <c r="P36" i="39"/>
  <c r="P35" i="39"/>
  <c r="P34" i="39"/>
  <c r="P33" i="39"/>
  <c r="P32" i="39"/>
  <c r="P31" i="39"/>
  <c r="P30" i="39"/>
  <c r="P29" i="39"/>
  <c r="P28" i="39"/>
  <c r="P27" i="39"/>
  <c r="P26" i="39"/>
  <c r="P25" i="39"/>
  <c r="P24" i="39"/>
  <c r="P23" i="39"/>
  <c r="P22" i="39"/>
  <c r="P21" i="39"/>
  <c r="P20" i="39"/>
  <c r="A4" i="39"/>
  <c r="P38" i="38"/>
  <c r="P37" i="38"/>
  <c r="P36" i="38"/>
  <c r="P35" i="38"/>
  <c r="P34" i="38"/>
  <c r="P33" i="38"/>
  <c r="P32" i="38"/>
  <c r="P31" i="38"/>
  <c r="P30" i="38"/>
  <c r="P29" i="38"/>
  <c r="P28" i="38"/>
  <c r="P27" i="38"/>
  <c r="P26" i="38"/>
  <c r="P25" i="38"/>
  <c r="P24" i="38"/>
  <c r="P23" i="38"/>
  <c r="P22" i="38"/>
  <c r="P21" i="38"/>
  <c r="P20" i="38"/>
  <c r="A4" i="38"/>
  <c r="P20" i="24"/>
  <c r="P38" i="37"/>
  <c r="P37" i="37"/>
  <c r="P36" i="37"/>
  <c r="P35" i="37"/>
  <c r="P34" i="37"/>
  <c r="P33" i="37"/>
  <c r="P32" i="37"/>
  <c r="P31" i="37"/>
  <c r="P30" i="37"/>
  <c r="P29" i="37"/>
  <c r="P28" i="37"/>
  <c r="P27" i="37"/>
  <c r="P26" i="37"/>
  <c r="P25" i="37"/>
  <c r="P24" i="37"/>
  <c r="P23" i="37"/>
  <c r="P22" i="37"/>
  <c r="P21" i="37"/>
  <c r="P20" i="37"/>
  <c r="A4" i="37"/>
  <c r="P38" i="36"/>
  <c r="P37" i="36"/>
  <c r="P36" i="36"/>
  <c r="P35" i="36"/>
  <c r="P34" i="36"/>
  <c r="P33" i="36"/>
  <c r="P32" i="36"/>
  <c r="P31" i="36"/>
  <c r="P30" i="36"/>
  <c r="P29" i="36"/>
  <c r="P28" i="36"/>
  <c r="P27" i="36"/>
  <c r="P26" i="36"/>
  <c r="P25" i="36"/>
  <c r="P24" i="36"/>
  <c r="P23" i="36"/>
  <c r="P22" i="36"/>
  <c r="P21" i="36"/>
  <c r="P20" i="36"/>
  <c r="P39" i="36" s="1"/>
  <c r="A4" i="36"/>
  <c r="P38" i="35"/>
  <c r="P37" i="35"/>
  <c r="P36" i="35"/>
  <c r="P35" i="35"/>
  <c r="P34" i="35"/>
  <c r="P33" i="35"/>
  <c r="P32" i="35"/>
  <c r="P31" i="35"/>
  <c r="P30" i="35"/>
  <c r="P29" i="35"/>
  <c r="P28" i="35"/>
  <c r="P27" i="35"/>
  <c r="P26" i="35"/>
  <c r="P25" i="35"/>
  <c r="P24" i="35"/>
  <c r="P23" i="35"/>
  <c r="P22" i="35"/>
  <c r="P21" i="35"/>
  <c r="P20" i="35"/>
  <c r="P21" i="25"/>
  <c r="P22" i="25"/>
  <c r="P23" i="25"/>
  <c r="P24" i="25"/>
  <c r="P25" i="25"/>
  <c r="P26" i="25"/>
  <c r="P27" i="25"/>
  <c r="P28" i="25"/>
  <c r="P29" i="25"/>
  <c r="P30" i="25"/>
  <c r="P31" i="25"/>
  <c r="P32" i="25"/>
  <c r="P33" i="25"/>
  <c r="P34" i="25"/>
  <c r="P35" i="25"/>
  <c r="P36" i="25"/>
  <c r="P37" i="25"/>
  <c r="P38" i="25"/>
  <c r="P20" i="25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20" i="26"/>
  <c r="P40" i="34"/>
  <c r="P39" i="34"/>
  <c r="P38" i="33"/>
  <c r="P37" i="33"/>
  <c r="P36" i="33"/>
  <c r="P35" i="33"/>
  <c r="P34" i="33"/>
  <c r="P33" i="33"/>
  <c r="P32" i="33"/>
  <c r="P31" i="33"/>
  <c r="P30" i="33"/>
  <c r="P29" i="33"/>
  <c r="P28" i="33"/>
  <c r="P27" i="33"/>
  <c r="P26" i="33"/>
  <c r="P25" i="33"/>
  <c r="P24" i="33"/>
  <c r="P23" i="33"/>
  <c r="P22" i="33"/>
  <c r="P21" i="33"/>
  <c r="P20" i="33"/>
  <c r="P39" i="31"/>
  <c r="P40" i="30"/>
  <c r="P41" i="30" s="1"/>
  <c r="E16" i="30" s="1"/>
  <c r="P39" i="30"/>
  <c r="P39" i="29"/>
  <c r="P39" i="28"/>
  <c r="A4" i="25"/>
  <c r="P39" i="27"/>
  <c r="P39" i="24"/>
  <c r="P40" i="24" s="1"/>
  <c r="P39" i="23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21" i="22"/>
  <c r="P23" i="20"/>
  <c r="P22" i="20"/>
  <c r="P21" i="20"/>
  <c r="P20" i="20"/>
  <c r="P21" i="19"/>
  <c r="P22" i="19"/>
  <c r="P23" i="19"/>
  <c r="P20" i="19"/>
  <c r="P41" i="46" l="1"/>
  <c r="E16" i="46" s="1"/>
  <c r="P40" i="46"/>
  <c r="P40" i="45"/>
  <c r="P41" i="45" s="1"/>
  <c r="P39" i="44"/>
  <c r="P40" i="44" s="1"/>
  <c r="P41" i="44" s="1"/>
  <c r="E16" i="44" s="1"/>
  <c r="P39" i="43"/>
  <c r="P40" i="43" s="1"/>
  <c r="P41" i="43" s="1"/>
  <c r="E16" i="43" s="1"/>
  <c r="P41" i="34"/>
  <c r="E16" i="34" s="1"/>
  <c r="P39" i="41"/>
  <c r="P40" i="41" s="1"/>
  <c r="P41" i="41" s="1"/>
  <c r="P39" i="42"/>
  <c r="P40" i="42" s="1"/>
  <c r="P41" i="42" s="1"/>
  <c r="E16" i="42" s="1"/>
  <c r="P39" i="38"/>
  <c r="P39" i="40"/>
  <c r="P40" i="40" s="1"/>
  <c r="P41" i="40" s="1"/>
  <c r="E16" i="40" s="1"/>
  <c r="P39" i="39"/>
  <c r="P40" i="39" s="1"/>
  <c r="P41" i="39" s="1"/>
  <c r="E16" i="39" s="1"/>
  <c r="P41" i="24"/>
  <c r="E16" i="24" s="1"/>
  <c r="P39" i="37"/>
  <c r="P40" i="37" s="1"/>
  <c r="P41" i="37" s="1"/>
  <c r="E16" i="37" s="1"/>
  <c r="P40" i="36"/>
  <c r="P41" i="36" s="1"/>
  <c r="E16" i="36" s="1"/>
  <c r="P39" i="35"/>
  <c r="P40" i="35" s="1"/>
  <c r="P41" i="35" s="1"/>
  <c r="E16" i="35" s="1"/>
  <c r="P39" i="25"/>
  <c r="P40" i="25" s="1"/>
  <c r="P41" i="25" s="1"/>
  <c r="E16" i="25" s="1"/>
  <c r="P39" i="26"/>
  <c r="P40" i="26" s="1"/>
  <c r="P41" i="26" s="1"/>
  <c r="E16" i="26" s="1"/>
  <c r="P39" i="33"/>
  <c r="P40" i="33" s="1"/>
  <c r="P41" i="33" s="1"/>
  <c r="E16" i="33" s="1"/>
  <c r="P40" i="22"/>
  <c r="P41" i="22" s="1"/>
  <c r="P42" i="22" s="1"/>
  <c r="E17" i="22" s="1"/>
  <c r="P40" i="31"/>
  <c r="P41" i="31" s="1"/>
  <c r="E16" i="31" s="1"/>
  <c r="P40" i="29"/>
  <c r="P41" i="29" s="1"/>
  <c r="E16" i="29" s="1"/>
  <c r="P40" i="28"/>
  <c r="P41" i="28" s="1"/>
  <c r="E16" i="28" s="1"/>
  <c r="P40" i="27"/>
  <c r="P41" i="27" s="1"/>
  <c r="E16" i="27" s="1"/>
  <c r="P40" i="23"/>
  <c r="P41" i="23" s="1"/>
  <c r="E16" i="23" s="1"/>
  <c r="P39" i="20"/>
  <c r="P40" i="20" s="1"/>
  <c r="P41" i="20" s="1"/>
  <c r="E16" i="20" s="1"/>
  <c r="P39" i="19"/>
  <c r="P40" i="19" s="1"/>
  <c r="P41" i="19" s="1"/>
  <c r="E16" i="19" s="1"/>
  <c r="P40" i="38" l="1"/>
  <c r="P41" i="38" s="1"/>
  <c r="E16" i="38" s="1"/>
</calcChain>
</file>

<file path=xl/sharedStrings.xml><?xml version="1.0" encoding="utf-8"?>
<sst xmlns="http://schemas.openxmlformats.org/spreadsheetml/2006/main" count="799" uniqueCount="120">
  <si>
    <t>No.</t>
    <phoneticPr fontId="2"/>
  </si>
  <si>
    <t>注　　文　　書</t>
    <rPh sb="0" eb="1">
      <t>チュウ</t>
    </rPh>
    <rPh sb="3" eb="4">
      <t>ブン</t>
    </rPh>
    <rPh sb="6" eb="7">
      <t>ショ</t>
    </rPh>
    <phoneticPr fontId="2"/>
  </si>
  <si>
    <t>.</t>
    <phoneticPr fontId="2"/>
  </si>
  <si>
    <t>日立ｸﾞﾛｰﾊﾞﾙﾗｲﾌｿﾘｭｰｼｮﾝｽﾞ株式会社　御中</t>
    <rPh sb="0" eb="2">
      <t>ヒタチ</t>
    </rPh>
    <rPh sb="21" eb="23">
      <t>カブシキ</t>
    </rPh>
    <rPh sb="23" eb="25">
      <t>カイシャ</t>
    </rPh>
    <rPh sb="26" eb="28">
      <t>オンチュウ</t>
    </rPh>
    <phoneticPr fontId="2"/>
  </si>
  <si>
    <t>　　　株式会社プラスカンパニー</t>
    <rPh sb="3" eb="5">
      <t>カブシキ</t>
    </rPh>
    <rPh sb="5" eb="7">
      <t>カイシャ</t>
    </rPh>
    <phoneticPr fontId="2"/>
  </si>
  <si>
    <t>平素より格別のお引き立てを賜り厚く御礼申し上げます。</t>
  </si>
  <si>
    <t>　　　　　兵庫県姫路市米屋町20番地</t>
    <rPh sb="5" eb="8">
      <t>ヒョウゴケン</t>
    </rPh>
    <rPh sb="8" eb="11">
      <t>ヒメジシ</t>
    </rPh>
    <rPh sb="11" eb="12">
      <t>コメ</t>
    </rPh>
    <rPh sb="12" eb="13">
      <t>ヤ</t>
    </rPh>
    <rPh sb="13" eb="14">
      <t>チョウ</t>
    </rPh>
    <rPh sb="16" eb="18">
      <t>バンチ</t>
    </rPh>
    <phoneticPr fontId="2"/>
  </si>
  <si>
    <t>下記の通り注文しますのでよろしくお願いします。</t>
    <rPh sb="5" eb="7">
      <t>チュウモン</t>
    </rPh>
    <rPh sb="17" eb="18">
      <t>ネガ</t>
    </rPh>
    <phoneticPr fontId="2"/>
  </si>
  <si>
    <t>　　　　　　　　　TEL：　079-225-0300</t>
    <phoneticPr fontId="2"/>
  </si>
  <si>
    <t>　　　　　　　　　FAX：　079-225-0313</t>
    <phoneticPr fontId="2"/>
  </si>
  <si>
    <t>合計金額</t>
    <rPh sb="0" eb="2">
      <t>ゴウケイ</t>
    </rPh>
    <rPh sb="2" eb="4">
      <t>キンガク</t>
    </rPh>
    <phoneticPr fontId="2"/>
  </si>
  <si>
    <t>（税込）</t>
    <rPh sb="1" eb="3">
      <t>ゼイコ</t>
    </rPh>
    <phoneticPr fontId="2"/>
  </si>
  <si>
    <t>名称：　</t>
    <rPh sb="0" eb="2">
      <t>メイショウ</t>
    </rPh>
    <phoneticPr fontId="2"/>
  </si>
  <si>
    <t>名　　　称</t>
    <rPh sb="0" eb="1">
      <t>ナ</t>
    </rPh>
    <rPh sb="4" eb="5">
      <t>ショウ</t>
    </rPh>
    <phoneticPr fontId="2"/>
  </si>
  <si>
    <t>数量</t>
    <rPh sb="0" eb="2">
      <t>スウリョウ</t>
    </rPh>
    <phoneticPr fontId="2"/>
  </si>
  <si>
    <t>単位</t>
    <rPh sb="0" eb="2">
      <t>タンイ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</si>
  <si>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</si>
  <si>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</si>
  <si>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エアコン　RASーAJ22NW</t>
  </si>
  <si>
    <t>セット</t>
    <phoneticPr fontId="2"/>
  </si>
  <si>
    <t>エアコン　RASーAJ25NW</t>
  </si>
  <si>
    <t>エアコン　RASーAJ28NW</t>
  </si>
  <si>
    <t>エアコン　RASーAJ36NW</t>
  </si>
  <si>
    <t>ジンコーポレーション入れでお願いします</t>
    <rPh sb="10" eb="11">
      <t>イ</t>
    </rPh>
    <rPh sb="14" eb="15">
      <t>ネガ</t>
    </rPh>
    <phoneticPr fontId="2"/>
  </si>
  <si>
    <t>買取分です　</t>
    <rPh sb="0" eb="2">
      <t>カイトリ</t>
    </rPh>
    <rPh sb="2" eb="3">
      <t>フン</t>
    </rPh>
    <phoneticPr fontId="2"/>
  </si>
  <si>
    <t>小計</t>
    <rPh sb="0" eb="2">
      <t>ショウケイ</t>
    </rPh>
    <phoneticPr fontId="2"/>
  </si>
  <si>
    <t>消費税</t>
    <rPh sb="0" eb="3">
      <t>ショウヒゼイ</t>
    </rPh>
    <phoneticPr fontId="2"/>
  </si>
  <si>
    <t>合計</t>
    <rPh sb="0" eb="2">
      <t>ゴウケイ</t>
    </rPh>
    <phoneticPr fontId="2"/>
  </si>
  <si>
    <t>※　備考</t>
    <rPh sb="2" eb="4">
      <t>ビコウ</t>
    </rPh>
    <phoneticPr fontId="2"/>
  </si>
  <si>
    <t>名称：109295_サンヨーマンションNo3　205</t>
    <rPh sb="0" eb="2">
      <t>メイショウ</t>
    </rPh>
    <phoneticPr fontId="2"/>
  </si>
  <si>
    <t>エアコン　RAS-AJ5625DWSET</t>
    <phoneticPr fontId="2"/>
  </si>
  <si>
    <t>買取分です</t>
    <rPh sb="0" eb="3">
      <t>カイトリブン</t>
    </rPh>
    <phoneticPr fontId="2"/>
  </si>
  <si>
    <t>納品先　小松空調入れ</t>
    <rPh sb="0" eb="3">
      <t>ノウヒンサキ</t>
    </rPh>
    <rPh sb="4" eb="9">
      <t>コマツクウチョウイ</t>
    </rPh>
    <phoneticPr fontId="2"/>
  </si>
  <si>
    <t>堀江設備入れでお願いします</t>
    <rPh sb="0" eb="2">
      <t>ホリエ</t>
    </rPh>
    <rPh sb="2" eb="4">
      <t>セツビ</t>
    </rPh>
    <rPh sb="4" eb="5">
      <t>イ</t>
    </rPh>
    <rPh sb="8" eb="9">
      <t>ネガ</t>
    </rPh>
    <phoneticPr fontId="2"/>
  </si>
  <si>
    <t>お手数ですが納期回答をFAXでお願いします</t>
    <rPh sb="1" eb="3">
      <t>テスウ</t>
    </rPh>
    <rPh sb="6" eb="10">
      <t>ノウキカイトウ</t>
    </rPh>
    <rPh sb="16" eb="17">
      <t>ネガ</t>
    </rPh>
    <phoneticPr fontId="2"/>
  </si>
  <si>
    <t>エアコン　RASーAJ22RW</t>
    <phoneticPr fontId="2"/>
  </si>
  <si>
    <t>エアコン　RASーAJ25RW</t>
    <phoneticPr fontId="2"/>
  </si>
  <si>
    <t>エアコン　RASーAJ28RW</t>
    <phoneticPr fontId="2"/>
  </si>
  <si>
    <t>エアコン　RASーAJ36RW</t>
    <phoneticPr fontId="2"/>
  </si>
  <si>
    <t>エアコン　RASーAJ40RW</t>
    <phoneticPr fontId="2"/>
  </si>
  <si>
    <t>エアコン　RASーAJ56RW</t>
    <phoneticPr fontId="2"/>
  </si>
  <si>
    <t>内海グループ　入れ</t>
    <rPh sb="0" eb="2">
      <t>ウツミ</t>
    </rPh>
    <rPh sb="7" eb="8">
      <t>イ</t>
    </rPh>
    <phoneticPr fontId="2"/>
  </si>
  <si>
    <t>ルナパレスA202　不良交換分です</t>
    <rPh sb="10" eb="15">
      <t>フリョウコウカンブン</t>
    </rPh>
    <phoneticPr fontId="2"/>
  </si>
  <si>
    <t>新築の依頼書も一緒に送ること！</t>
    <rPh sb="0" eb="2">
      <t>シンチク</t>
    </rPh>
    <rPh sb="3" eb="6">
      <t>イライショ</t>
    </rPh>
    <rPh sb="7" eb="9">
      <t>イッショ</t>
    </rPh>
    <rPh sb="10" eb="11">
      <t>オク</t>
    </rPh>
    <phoneticPr fontId="2"/>
  </si>
  <si>
    <t>搬入日</t>
    <rPh sb="0" eb="3">
      <t>ハンニュウビ</t>
    </rPh>
    <phoneticPr fontId="2"/>
  </si>
  <si>
    <t>搬入先</t>
    <rPh sb="0" eb="3">
      <t>ハンニュウサキ</t>
    </rPh>
    <phoneticPr fontId="2"/>
  </si>
  <si>
    <t>Zion　入れ</t>
    <rPh sb="5" eb="6">
      <t>イ</t>
    </rPh>
    <phoneticPr fontId="2"/>
  </si>
  <si>
    <t>買取分です　先日10台で注文していた分を20台に変更願います</t>
    <rPh sb="0" eb="3">
      <t>カイトリブン</t>
    </rPh>
    <rPh sb="6" eb="8">
      <t>センジツ</t>
    </rPh>
    <rPh sb="10" eb="11">
      <t>ダイ</t>
    </rPh>
    <rPh sb="12" eb="14">
      <t>チュウモン</t>
    </rPh>
    <rPh sb="18" eb="19">
      <t>ブン</t>
    </rPh>
    <rPh sb="22" eb="23">
      <t>ダイ</t>
    </rPh>
    <rPh sb="24" eb="26">
      <t>ヘンコウ</t>
    </rPh>
    <rPh sb="26" eb="27">
      <t>ネガ</t>
    </rPh>
    <phoneticPr fontId="2"/>
  </si>
  <si>
    <t>名古屋、名古屋西、名古屋北営業所分</t>
    <rPh sb="0" eb="3">
      <t>ナゴヤ</t>
    </rPh>
    <rPh sb="4" eb="7">
      <t>ナゴヤ</t>
    </rPh>
    <rPh sb="7" eb="8">
      <t>ニシ</t>
    </rPh>
    <rPh sb="9" eb="12">
      <t>ナゴヤ</t>
    </rPh>
    <rPh sb="12" eb="13">
      <t>キタ</t>
    </rPh>
    <rPh sb="13" eb="16">
      <t>エイギョウショ</t>
    </rPh>
    <rPh sb="16" eb="17">
      <t>ブン</t>
    </rPh>
    <phoneticPr fontId="2"/>
  </si>
  <si>
    <t>大東建託パートナズ用です</t>
    <rPh sb="0" eb="4">
      <t>ダイトウケンタク</t>
    </rPh>
    <rPh sb="9" eb="10">
      <t>ヨウ</t>
    </rPh>
    <phoneticPr fontId="2"/>
  </si>
  <si>
    <t>㈱プラスカンパニー草津中庄</t>
    <rPh sb="9" eb="13">
      <t>クサツナカショウ</t>
    </rPh>
    <phoneticPr fontId="2"/>
  </si>
  <si>
    <t>彦根営業所分</t>
    <rPh sb="0" eb="2">
      <t>ヒコネ</t>
    </rPh>
    <rPh sb="2" eb="5">
      <t>エイギョウショ</t>
    </rPh>
    <rPh sb="5" eb="6">
      <t>ブン</t>
    </rPh>
    <phoneticPr fontId="2"/>
  </si>
  <si>
    <t>エアコン　RASーAJ2225SW</t>
    <phoneticPr fontId="2"/>
  </si>
  <si>
    <t>エアコン　RASーAJ2525SW</t>
    <phoneticPr fontId="2"/>
  </si>
  <si>
    <t>エアコン　RASーAJ2825SW</t>
    <phoneticPr fontId="2"/>
  </si>
  <si>
    <t>エアコン　RASーAJ3625SW</t>
    <phoneticPr fontId="2"/>
  </si>
  <si>
    <t>エアコン　RASーAJ4025SW</t>
    <phoneticPr fontId="2"/>
  </si>
  <si>
    <t>大阪府住之江区粉浜1-9-28　粉浜営業所</t>
    <phoneticPr fontId="2"/>
  </si>
  <si>
    <t>買取分です。</t>
    <rPh sb="0" eb="3">
      <t>カイトリブン</t>
    </rPh>
    <phoneticPr fontId="2"/>
  </si>
  <si>
    <t>尼崎営業所分</t>
    <rPh sb="0" eb="2">
      <t>アマガサキ</t>
    </rPh>
    <rPh sb="2" eb="5">
      <t>エイギョウショ</t>
    </rPh>
    <rPh sb="5" eb="6">
      <t>ブン</t>
    </rPh>
    <phoneticPr fontId="2"/>
  </si>
  <si>
    <t>京都府八幡市川口萩原14-1　八幡営業所</t>
    <rPh sb="0" eb="3">
      <t>キョウトフ</t>
    </rPh>
    <rPh sb="15" eb="17">
      <t>ヤハタ</t>
    </rPh>
    <phoneticPr fontId="2"/>
  </si>
  <si>
    <t>買取分です　</t>
    <rPh sb="0" eb="3">
      <t>カイトリブン</t>
    </rPh>
    <phoneticPr fontId="2"/>
  </si>
  <si>
    <t>京都営業所分</t>
    <rPh sb="0" eb="2">
      <t>キョウト</t>
    </rPh>
    <rPh sb="2" eb="5">
      <t>エイギョウショ</t>
    </rPh>
    <rPh sb="5" eb="6">
      <t>ブン</t>
    </rPh>
    <phoneticPr fontId="2"/>
  </si>
  <si>
    <t>８月４日納品でお願いします</t>
    <rPh sb="1" eb="2">
      <t>ガツ</t>
    </rPh>
    <rPh sb="3" eb="4">
      <t>ニチ</t>
    </rPh>
    <rPh sb="4" eb="6">
      <t>ノウヒン</t>
    </rPh>
    <rPh sb="8" eb="9">
      <t>ネガ</t>
    </rPh>
    <phoneticPr fontId="2"/>
  </si>
  <si>
    <t>納品先　小松空調</t>
    <rPh sb="0" eb="3">
      <t>ノウヒンサキ</t>
    </rPh>
    <rPh sb="4" eb="8">
      <t>コマツクウチョウ</t>
    </rPh>
    <phoneticPr fontId="2"/>
  </si>
  <si>
    <t>兵庫県明石市和阪１丁目２－１　casamodo102</t>
    <phoneticPr fontId="2"/>
  </si>
  <si>
    <t>荷受人小松様　080-8376-6842</t>
    <phoneticPr fontId="2"/>
  </si>
  <si>
    <t>加古川・神戸営業所分</t>
    <rPh sb="0" eb="3">
      <t>カコガワ</t>
    </rPh>
    <rPh sb="4" eb="6">
      <t>コウベ</t>
    </rPh>
    <rPh sb="6" eb="9">
      <t>エイギョウショ</t>
    </rPh>
    <rPh sb="9" eb="10">
      <t>ブン</t>
    </rPh>
    <phoneticPr fontId="2"/>
  </si>
  <si>
    <t>リモコン　RAS-AJ22H-003</t>
    <phoneticPr fontId="2"/>
  </si>
  <si>
    <t>個</t>
    <rPh sb="0" eb="1">
      <t>コ</t>
    </rPh>
    <phoneticPr fontId="2"/>
  </si>
  <si>
    <t>リモコンフォルダ</t>
    <phoneticPr fontId="2"/>
  </si>
  <si>
    <t>リモコンとリモコンフォルダ紛失の為手配をお願いします</t>
    <rPh sb="13" eb="15">
      <t>フンシツ</t>
    </rPh>
    <rPh sb="16" eb="19">
      <t>タメテハイ</t>
    </rPh>
    <rPh sb="21" eb="22">
      <t>ネガ</t>
    </rPh>
    <phoneticPr fontId="2"/>
  </si>
  <si>
    <t>0270364-000-01</t>
    <phoneticPr fontId="2"/>
  </si>
  <si>
    <t>石橋伸治様集合住宅新築工事</t>
    <phoneticPr fontId="2"/>
  </si>
  <si>
    <t>最短</t>
    <rPh sb="0" eb="2">
      <t>サイタン</t>
    </rPh>
    <phoneticPr fontId="2"/>
  </si>
  <si>
    <t>e-com広島</t>
    <rPh sb="5" eb="7">
      <t>ヒロシマ</t>
    </rPh>
    <phoneticPr fontId="2"/>
  </si>
  <si>
    <t>住所：〒739-1733
　　　広島市安佐北区口田南1丁目8-34-8
　　　株式会社　e-com広島営業所　担当：岡西
　　　℡：082-554-9070</t>
    <phoneticPr fontId="2"/>
  </si>
  <si>
    <t>名称：　112190_坂根邸分</t>
    <rPh sb="0" eb="2">
      <t>メイショウ</t>
    </rPh>
    <rPh sb="11" eb="13">
      <t>サカネ</t>
    </rPh>
    <rPh sb="13" eb="14">
      <t>テイ</t>
    </rPh>
    <rPh sb="14" eb="15">
      <t>ブン</t>
    </rPh>
    <phoneticPr fontId="2"/>
  </si>
  <si>
    <t>エアコン　RASーXJ5625DW</t>
    <phoneticPr fontId="2"/>
  </si>
  <si>
    <t>粉浜入れにてお願いします</t>
    <rPh sb="0" eb="2">
      <t>コハマ</t>
    </rPh>
    <rPh sb="2" eb="3">
      <t>イ</t>
    </rPh>
    <rPh sb="7" eb="8">
      <t>ネガ</t>
    </rPh>
    <phoneticPr fontId="2"/>
  </si>
  <si>
    <t>RAS-AJ25N用風向ガイド</t>
    <rPh sb="9" eb="10">
      <t>ヨウ</t>
    </rPh>
    <rPh sb="10" eb="12">
      <t>フウコウ</t>
    </rPh>
    <phoneticPr fontId="2"/>
  </si>
  <si>
    <t>プラスカンパニー入れでお願いします。</t>
    <rPh sb="8" eb="9">
      <t>イ</t>
    </rPh>
    <rPh sb="12" eb="13">
      <t>ネガ</t>
    </rPh>
    <phoneticPr fontId="2"/>
  </si>
  <si>
    <t>RAS-AJ25N用ルーバー</t>
    <rPh sb="9" eb="10">
      <t>ヨウ</t>
    </rPh>
    <phoneticPr fontId="2"/>
  </si>
  <si>
    <t>3.6ｋＷ 前面パネル</t>
    <rPh sb="6" eb="8">
      <t>ゼンメン</t>
    </rPh>
    <phoneticPr fontId="2"/>
  </si>
  <si>
    <t>プラスカンパニー入れでお願いします</t>
    <rPh sb="8" eb="9">
      <t>イ</t>
    </rPh>
    <rPh sb="12" eb="13">
      <t>ネガ</t>
    </rPh>
    <phoneticPr fontId="2"/>
  </si>
  <si>
    <t>名称：</t>
    <rPh sb="0" eb="2">
      <t>メイショウ</t>
    </rPh>
    <phoneticPr fontId="2"/>
  </si>
  <si>
    <t>RAS-AJ36N　上下風向板　部品番号：453</t>
    <rPh sb="16" eb="20">
      <t>ブヒンバンゴウ</t>
    </rPh>
    <phoneticPr fontId="2"/>
  </si>
  <si>
    <t>ケ</t>
    <phoneticPr fontId="2"/>
  </si>
  <si>
    <t>アーステクニカルサービス入れでお願いします</t>
    <rPh sb="12" eb="13">
      <t>イ</t>
    </rPh>
    <rPh sb="16" eb="17">
      <t>ネガ</t>
    </rPh>
    <phoneticPr fontId="2"/>
  </si>
  <si>
    <t>エアコン　RASーAJ22MW</t>
    <phoneticPr fontId="2"/>
  </si>
  <si>
    <t>エアコン　RASーAJ25MW</t>
    <phoneticPr fontId="2"/>
  </si>
  <si>
    <t>エアコン　RASーAJ28MW</t>
    <phoneticPr fontId="2"/>
  </si>
  <si>
    <t>エアコン　RASーAJ36MW</t>
    <phoneticPr fontId="2"/>
  </si>
  <si>
    <t>RANDY入れでお願いします</t>
    <rPh sb="5" eb="6">
      <t>イ</t>
    </rPh>
    <rPh sb="9" eb="10">
      <t>ネガ</t>
    </rPh>
    <phoneticPr fontId="2"/>
  </si>
  <si>
    <t>お手数ですが納期回答をお願いします</t>
  </si>
  <si>
    <t>エアコン　RASーAJ22RW</t>
  </si>
  <si>
    <t>エアコン　RASーAJ25RW</t>
  </si>
  <si>
    <t>エアコン　RASーAJ28RW</t>
  </si>
  <si>
    <t>プラスカンパニー大阪中央入れでお願いします</t>
    <rPh sb="8" eb="10">
      <t>オオサカ</t>
    </rPh>
    <rPh sb="10" eb="12">
      <t>チュウオウ</t>
    </rPh>
    <rPh sb="12" eb="13">
      <t>イ</t>
    </rPh>
    <rPh sb="16" eb="17">
      <t>ネガ</t>
    </rPh>
    <phoneticPr fontId="2"/>
  </si>
  <si>
    <t>98785_サンアムール206買取分です　</t>
    <rPh sb="15" eb="17">
      <t>カイトリ</t>
    </rPh>
    <rPh sb="17" eb="18">
      <t>フン</t>
    </rPh>
    <phoneticPr fontId="2"/>
  </si>
  <si>
    <t>名称：買取分</t>
    <rPh sb="0" eb="2">
      <t>メイショウ</t>
    </rPh>
    <rPh sb="3" eb="6">
      <t>カイトリブン</t>
    </rPh>
    <phoneticPr fontId="2"/>
  </si>
  <si>
    <t>室外機天板 部品番号:RAC-AJ28G-018</t>
    <rPh sb="0" eb="5">
      <t>シツガイキテンバン</t>
    </rPh>
    <rPh sb="6" eb="10">
      <t>ブヒンバンゴウ</t>
    </rPh>
    <phoneticPr fontId="2"/>
  </si>
  <si>
    <t>台</t>
    <rPh sb="0" eb="1">
      <t>ダイ</t>
    </rPh>
    <phoneticPr fontId="2"/>
  </si>
  <si>
    <t>田邉 隆様集合住宅新築工事</t>
    <phoneticPr fontId="2"/>
  </si>
  <si>
    <t>0280289-000-01</t>
    <phoneticPr fontId="2"/>
  </si>
  <si>
    <t>室外機天板 部品番号:RAC-AJ36N</t>
    <phoneticPr fontId="2"/>
  </si>
  <si>
    <t>請求はプラスカンパニーにお願いします</t>
    <rPh sb="0" eb="2">
      <t>セイキュウ</t>
    </rPh>
    <rPh sb="13" eb="14">
      <t>ネガ</t>
    </rPh>
    <phoneticPr fontId="2"/>
  </si>
  <si>
    <t>RAS-AJ28M　左下配管取り出しカバー</t>
    <rPh sb="10" eb="12">
      <t>ヒダリシタ</t>
    </rPh>
    <rPh sb="12" eb="15">
      <t>ハイカント</t>
    </rPh>
    <rPh sb="16" eb="17">
      <t>ダ</t>
    </rPh>
    <phoneticPr fontId="2"/>
  </si>
  <si>
    <t>プラスカンパニー大阪入れでお願いします</t>
    <rPh sb="8" eb="10">
      <t>オオサカ</t>
    </rPh>
    <rPh sb="10" eb="11">
      <t>イ</t>
    </rPh>
    <rPh sb="14" eb="15">
      <t>ネガ</t>
    </rPh>
    <phoneticPr fontId="2"/>
  </si>
  <si>
    <t>〒595-0004　大阪府泉大津市千原町1丁目10-14</t>
    <rPh sb="10" eb="13">
      <t>オオサカフ</t>
    </rPh>
    <rPh sb="13" eb="16">
      <t>イズミオオツ</t>
    </rPh>
    <rPh sb="16" eb="17">
      <t>シ</t>
    </rPh>
    <rPh sb="17" eb="20">
      <t>チハラチョウ</t>
    </rPh>
    <rPh sb="21" eb="23">
      <t>チョウメ</t>
    </rPh>
    <phoneticPr fontId="2"/>
  </si>
  <si>
    <t>上カバー（天板）：RAC-AJ28G-018</t>
    <rPh sb="0" eb="1">
      <t>ウエ</t>
    </rPh>
    <rPh sb="5" eb="7">
      <t>テンバン</t>
    </rPh>
    <phoneticPr fontId="2"/>
  </si>
  <si>
    <t>フロントカバー（前面）：RAC-AJ２８G―１１４</t>
    <phoneticPr fontId="2"/>
  </si>
  <si>
    <t>室外機天板 部品番号:RAC-AJ36</t>
    <phoneticPr fontId="2"/>
  </si>
  <si>
    <t>e-com岡山入れでお願いします</t>
    <rPh sb="5" eb="7">
      <t>オカヤマ</t>
    </rPh>
    <rPh sb="7" eb="8">
      <t>イ</t>
    </rPh>
    <rPh sb="11" eb="12">
      <t>ネガ</t>
    </rPh>
    <phoneticPr fontId="2"/>
  </si>
  <si>
    <t>RAS-AJ28M　右下配管取り出しカバー</t>
    <rPh sb="10" eb="12">
      <t>ミギシタ</t>
    </rPh>
    <rPh sb="12" eb="15">
      <t>ハイカント</t>
    </rPh>
    <rPh sb="16" eb="17">
      <t>ダ</t>
    </rPh>
    <phoneticPr fontId="2"/>
  </si>
  <si>
    <t>100v</t>
    <phoneticPr fontId="2"/>
  </si>
  <si>
    <t>2/18納品でお願いします</t>
    <rPh sb="4" eb="6">
      <t>ノウヒン</t>
    </rPh>
    <rPh sb="8" eb="9">
      <t>ネガ</t>
    </rPh>
    <phoneticPr fontId="2"/>
  </si>
  <si>
    <t>姫路市米屋町20番地</t>
    <rPh sb="0" eb="6">
      <t>ヒメジシコメヤマチ</t>
    </rPh>
    <rPh sb="8" eb="10">
      <t>バンチ</t>
    </rPh>
    <phoneticPr fontId="2"/>
  </si>
  <si>
    <t>CL0058182501</t>
    <phoneticPr fontId="2"/>
  </si>
  <si>
    <t>小泉仁様・補修工事分</t>
    <rPh sb="0" eb="2">
      <t>コイズミ</t>
    </rPh>
    <rPh sb="2" eb="4">
      <t>ヒトシサマ</t>
    </rPh>
    <rPh sb="5" eb="7">
      <t>ホシュウ</t>
    </rPh>
    <rPh sb="7" eb="9">
      <t>コウジ</t>
    </rPh>
    <rPh sb="9" eb="10">
      <t>ブン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</si>
</sst>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&quot;¥&quot;#,##0_);[Red]\(&quot;¥&quot;#,##0\)"/>
    <numFmt numFmtId="177" formatCode="[$-F800]dddd\,\ mmmm\ dd\,\ yyyy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5"/>
      <name val="ＭＳ Ｐゴシック"/>
      <family val="3"/>
      <charset val="128"/>
    </font>
    <font>
      <sz val="16"/>
      <name val="ＭＳ Ｐゴシック"/>
      <family val="3"/>
      <charset val="128"/>
    </font>
    <font>
      <sz val="13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name val="ＭＳ Ｐゴシック"/>
      <family val="3"/>
      <charset val="128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6" fontId="3" fillId="0" borderId="5" xfId="1" applyNumberFormat="1" applyFont="1" applyBorder="1" applyAlignment="1">
      <alignment vertical="center"/>
    </xf>
    <xf numFmtId="176" fontId="3" fillId="0" borderId="1" xfId="1" applyNumberFormat="1" applyFont="1" applyBorder="1" applyAlignment="1">
      <alignment vertical="center"/>
    </xf>
    <xf numFmtId="176" fontId="3" fillId="0" borderId="6" xfId="1" applyNumberFormat="1" applyFont="1" applyBorder="1" applyAlignment="1">
      <alignment vertical="center"/>
    </xf>
    <xf numFmtId="176" fontId="3" fillId="0" borderId="7" xfId="1" applyNumberFormat="1" applyFont="1" applyBorder="1" applyAlignment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 applyAlignment="1">
      <alignment horizontal="right" vertical="center"/>
    </xf>
    <xf numFmtId="0" fontId="12" fillId="4" borderId="0" xfId="0" applyFont="1" applyFill="1" applyAlignment="1">
      <alignment horizontal="centerContinuous" vertical="center"/>
    </xf>
    <xf numFmtId="0" fontId="0" fillId="4" borderId="0" xfId="0" applyFill="1" applyAlignment="1">
      <alignment horizontal="centerContinuous" vertical="center"/>
    </xf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56" fontId="0" fillId="0" borderId="0" xfId="0" applyNumberForma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0" borderId="8" xfId="1" applyNumberFormat="1" applyFont="1" applyBorder="1" applyAlignment="1">
      <alignment vertical="center"/>
    </xf>
    <xf numFmtId="176" fontId="3" fillId="0" borderId="5" xfId="1" applyNumberFormat="1" applyFont="1" applyBorder="1" applyAlignment="1">
      <alignment vertical="center"/>
    </xf>
    <xf numFmtId="176" fontId="3" fillId="0" borderId="9" xfId="1" applyNumberFormat="1" applyFont="1" applyBorder="1" applyAlignment="1">
      <alignment vertical="center"/>
    </xf>
    <xf numFmtId="176" fontId="3" fillId="0" borderId="1" xfId="1" applyNumberFormat="1" applyFont="1" applyBorder="1" applyAlignment="1">
      <alignment vertical="center"/>
    </xf>
    <xf numFmtId="0" fontId="13" fillId="0" borderId="3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38" fontId="1" fillId="0" borderId="2" xfId="1" applyBorder="1" applyAlignment="1">
      <alignment horizontal="right" vertical="center"/>
    </xf>
    <xf numFmtId="38" fontId="1" fillId="0" borderId="2" xfId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38" fontId="1" fillId="0" borderId="3" xfId="1" applyBorder="1" applyAlignment="1">
      <alignment horizontal="right" vertical="center"/>
    </xf>
    <xf numFmtId="38" fontId="1" fillId="0" borderId="4" xfId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6" fontId="0" fillId="0" borderId="3" xfId="0" applyNumberFormat="1" applyBorder="1" applyAlignment="1">
      <alignment horizontal="left" vertical="center" wrapText="1"/>
    </xf>
    <xf numFmtId="56" fontId="0" fillId="0" borderId="10" xfId="0" applyNumberFormat="1" applyBorder="1" applyAlignment="1">
      <alignment horizontal="left" vertical="center" wrapText="1"/>
    </xf>
    <xf numFmtId="56" fontId="0" fillId="0" borderId="4" xfId="0" applyNumberForma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2" xfId="0" applyFill="1" applyBorder="1">
      <alignment vertical="center"/>
    </xf>
    <xf numFmtId="38" fontId="1" fillId="2" borderId="2" xfId="1" applyFill="1" applyBorder="1" applyAlignment="1">
      <alignment horizontal="right" vertical="center"/>
    </xf>
    <xf numFmtId="38" fontId="1" fillId="2" borderId="2" xfId="1" applyFill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56" fontId="0" fillId="0" borderId="3" xfId="0" applyNumberForma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56" fontId="11" fillId="0" borderId="3" xfId="0" applyNumberFormat="1" applyFont="1" applyBorder="1" applyAlignment="1">
      <alignment horizontal="left" vertical="center"/>
    </xf>
    <xf numFmtId="56" fontId="11" fillId="0" borderId="10" xfId="0" applyNumberFormat="1" applyFont="1" applyBorder="1" applyAlignment="1">
      <alignment horizontal="left" vertical="center"/>
    </xf>
    <xf numFmtId="56" fontId="11" fillId="0" borderId="4" xfId="0" applyNumberFormat="1" applyFont="1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56" fontId="11" fillId="0" borderId="8" xfId="0" applyNumberFormat="1" applyFont="1" applyBorder="1" applyAlignment="1">
      <alignment horizontal="left" vertical="center" wrapText="1"/>
    </xf>
    <xf numFmtId="56" fontId="11" fillId="0" borderId="5" xfId="0" applyNumberFormat="1" applyFont="1" applyBorder="1" applyAlignment="1">
      <alignment horizontal="left" vertical="center" wrapText="1"/>
    </xf>
    <xf numFmtId="56" fontId="11" fillId="0" borderId="6" xfId="0" applyNumberFormat="1" applyFont="1" applyBorder="1" applyAlignment="1">
      <alignment horizontal="left" vertical="center" wrapText="1"/>
    </xf>
    <xf numFmtId="56" fontId="11" fillId="0" borderId="11" xfId="0" applyNumberFormat="1" applyFont="1" applyBorder="1" applyAlignment="1">
      <alignment horizontal="left" vertical="center" wrapText="1"/>
    </xf>
    <xf numFmtId="56" fontId="11" fillId="0" borderId="0" xfId="0" applyNumberFormat="1" applyFont="1" applyAlignment="1">
      <alignment horizontal="left" vertical="center" wrapText="1"/>
    </xf>
    <xf numFmtId="56" fontId="11" fillId="0" borderId="12" xfId="0" applyNumberFormat="1" applyFont="1" applyBorder="1" applyAlignment="1">
      <alignment horizontal="left" vertical="center" wrapText="1"/>
    </xf>
    <xf numFmtId="56" fontId="11" fillId="0" borderId="9" xfId="0" applyNumberFormat="1" applyFont="1" applyBorder="1" applyAlignment="1">
      <alignment horizontal="left" vertical="center" wrapText="1"/>
    </xf>
    <xf numFmtId="56" fontId="11" fillId="0" borderId="1" xfId="0" applyNumberFormat="1" applyFont="1" applyBorder="1" applyAlignment="1">
      <alignment horizontal="left" vertical="center" wrapText="1"/>
    </xf>
    <xf numFmtId="56" fontId="11" fillId="0" borderId="7" xfId="0" applyNumberFormat="1" applyFont="1" applyBorder="1" applyAlignment="1">
      <alignment horizontal="left" vertical="center" wrapText="1"/>
    </xf>
  </cellXfs>
  <cellStyles count="2">
    <cellStyle name="桁区切り" xfId="1" builtinId="6"/>
    <cellStyle name="標準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R50"/>
  <sheetViews>
    <sheetView view="pageBreakPreview" zoomScale="60" zoomScaleNormal="100" workbookViewId="0">
      <selection activeCell="A24" sqref="A24:J24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45330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40524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18</v>
      </c>
      <c r="B20" s="43"/>
      <c r="C20" s="43"/>
      <c r="D20" s="43"/>
      <c r="E20" s="43"/>
      <c r="F20" s="43"/>
      <c r="G20" s="43"/>
      <c r="H20" s="43"/>
      <c r="I20" s="43"/>
      <c r="J20" s="44"/>
      <c r="K20" s="65"/>
      <c r="L20" s="65"/>
      <c r="M20" s="6" t="s">
        <v>19</v>
      </c>
      <c r="N20" s="49">
        <v>32842</v>
      </c>
      <c r="O20" s="50"/>
      <c r="P20" s="41">
        <f>K20*N20</f>
        <v>0</v>
      </c>
      <c r="Q20" s="41"/>
      <c r="R20" s="41"/>
    </row>
    <row r="21" spans="1:18" ht="23.25" customHeight="1" x14ac:dyDescent="0.15">
      <c r="A21" s="42" t="s">
        <v>20</v>
      </c>
      <c r="B21" s="43"/>
      <c r="C21" s="43"/>
      <c r="D21" s="43"/>
      <c r="E21" s="43"/>
      <c r="F21" s="43"/>
      <c r="G21" s="43"/>
      <c r="H21" s="43"/>
      <c r="I21" s="43"/>
      <c r="J21" s="44"/>
      <c r="K21" s="65"/>
      <c r="L21" s="65"/>
      <c r="M21" s="6" t="s">
        <v>19</v>
      </c>
      <c r="N21" s="40">
        <v>33922</v>
      </c>
      <c r="O21" s="40"/>
      <c r="P21" s="41">
        <f>K21*N21</f>
        <v>0</v>
      </c>
      <c r="Q21" s="41"/>
      <c r="R21" s="41"/>
    </row>
    <row r="22" spans="1:18" ht="23.25" customHeight="1" x14ac:dyDescent="0.15">
      <c r="A22" s="42" t="s">
        <v>21</v>
      </c>
      <c r="B22" s="43"/>
      <c r="C22" s="43"/>
      <c r="D22" s="43"/>
      <c r="E22" s="43"/>
      <c r="F22" s="43"/>
      <c r="G22" s="43"/>
      <c r="H22" s="43"/>
      <c r="I22" s="43"/>
      <c r="J22" s="44"/>
      <c r="K22" s="65">
        <v>1</v>
      </c>
      <c r="L22" s="65"/>
      <c r="M22" s="6" t="s">
        <v>19</v>
      </c>
      <c r="N22" s="40">
        <v>36840</v>
      </c>
      <c r="O22" s="40"/>
      <c r="P22" s="41">
        <f>K22*N22</f>
        <v>36840</v>
      </c>
      <c r="Q22" s="41"/>
      <c r="R22" s="41"/>
    </row>
    <row r="23" spans="1:18" ht="23.25" customHeight="1" x14ac:dyDescent="0.15">
      <c r="A23" s="42" t="s">
        <v>22</v>
      </c>
      <c r="B23" s="43"/>
      <c r="C23" s="43"/>
      <c r="D23" s="43"/>
      <c r="E23" s="43"/>
      <c r="F23" s="43"/>
      <c r="G23" s="43"/>
      <c r="H23" s="43"/>
      <c r="I23" s="43"/>
      <c r="J23" s="44"/>
      <c r="K23" s="65"/>
      <c r="L23" s="65"/>
      <c r="M23" s="6" t="s">
        <v>19</v>
      </c>
      <c r="N23" s="49">
        <v>44293</v>
      </c>
      <c r="O23" s="50"/>
      <c r="P23" s="41">
        <f>K23*N23</f>
        <v>0</v>
      </c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66"/>
      <c r="L24" s="67"/>
      <c r="M24" s="7"/>
      <c r="N24" s="49"/>
      <c r="O24" s="50"/>
      <c r="P24" s="41"/>
      <c r="Q24" s="41"/>
      <c r="R24" s="41"/>
    </row>
    <row r="25" spans="1:18" ht="23.25" customHeight="1" x14ac:dyDescent="0.15">
      <c r="A25" s="69" t="s">
        <v>23</v>
      </c>
      <c r="B25" s="70"/>
      <c r="C25" s="70"/>
      <c r="D25" s="70"/>
      <c r="E25" s="70"/>
      <c r="F25" s="70"/>
      <c r="G25" s="70"/>
      <c r="H25" s="70"/>
      <c r="I25" s="70"/>
      <c r="J25" s="71"/>
      <c r="K25" s="66"/>
      <c r="L25" s="67"/>
      <c r="M25" s="7"/>
      <c r="N25" s="49"/>
      <c r="O25" s="50"/>
      <c r="P25" s="41"/>
      <c r="Q25" s="41"/>
      <c r="R25" s="41"/>
    </row>
    <row r="26" spans="1:18" ht="23.25" customHeight="1" x14ac:dyDescent="0.15">
      <c r="A26" s="53" t="s">
        <v>24</v>
      </c>
      <c r="B26" s="54"/>
      <c r="C26" s="54"/>
      <c r="D26" s="54"/>
      <c r="E26" s="54"/>
      <c r="F26" s="54"/>
      <c r="G26" s="54"/>
      <c r="H26" s="54"/>
      <c r="I26" s="54"/>
      <c r="J26" s="55"/>
      <c r="K26" s="66"/>
      <c r="L26" s="67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66"/>
      <c r="L27" s="67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66"/>
      <c r="L28" s="67"/>
      <c r="M28" s="2"/>
      <c r="N28" s="49"/>
      <c r="O28" s="50"/>
      <c r="P28" s="41"/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65"/>
      <c r="L29" s="65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65"/>
      <c r="L30" s="65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65"/>
      <c r="L31" s="65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65"/>
      <c r="L32" s="65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65"/>
      <c r="L33" s="65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65"/>
      <c r="L34" s="65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65"/>
      <c r="L35" s="65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65"/>
      <c r="L36" s="65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65"/>
      <c r="L37" s="65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65"/>
      <c r="L38" s="65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36840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3684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40524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2:R2"/>
    <mergeCell ref="A3:R3"/>
    <mergeCell ref="A4:R4"/>
    <mergeCell ref="O8:R8"/>
    <mergeCell ref="A16:D17"/>
    <mergeCell ref="E16:H17"/>
    <mergeCell ref="A7:M7"/>
    <mergeCell ref="A18:R18"/>
    <mergeCell ref="A19:J19"/>
    <mergeCell ref="K19:L19"/>
    <mergeCell ref="N19:O19"/>
    <mergeCell ref="P19:R19"/>
    <mergeCell ref="A20:J20"/>
    <mergeCell ref="K20:L20"/>
    <mergeCell ref="N20:O20"/>
    <mergeCell ref="P20:R20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</mergeCells>
  <phoneticPr fontId="2"/>
  <pageMargins left="0.62992125984251968" right="0.51181102362204722" top="0.39370078740157483" bottom="0.31496062992125984" header="0.39370078740157483" footer="0.51181102362204722"/>
  <pageSetup paperSize="9" scale="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B380B-E838-4170-99A3-F0B8020C2F80}">
  <dimension ref="A1:R50"/>
  <sheetViews>
    <sheetView view="pageBreakPreview" zoomScaleNormal="100" zoomScaleSheetLayoutView="100" workbookViewId="0">
      <selection activeCell="A24" sqref="A24:J24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45854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113850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29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30</v>
      </c>
      <c r="B20" s="43"/>
      <c r="C20" s="43"/>
      <c r="D20" s="43"/>
      <c r="E20" s="43"/>
      <c r="F20" s="43"/>
      <c r="G20" s="43"/>
      <c r="H20" s="43"/>
      <c r="I20" s="43"/>
      <c r="J20" s="44"/>
      <c r="K20" s="65">
        <v>1</v>
      </c>
      <c r="L20" s="65"/>
      <c r="M20" s="6" t="s">
        <v>19</v>
      </c>
      <c r="N20" s="49">
        <v>103500</v>
      </c>
      <c r="O20" s="50"/>
      <c r="P20" s="41">
        <f>K20*N20</f>
        <v>103500</v>
      </c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65"/>
      <c r="L21" s="65"/>
      <c r="M21" s="6"/>
      <c r="N21" s="40"/>
      <c r="O21" s="40"/>
      <c r="P21" s="41"/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65"/>
      <c r="L22" s="65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65"/>
      <c r="L23" s="65"/>
      <c r="M23" s="6"/>
      <c r="N23" s="49"/>
      <c r="O23" s="50"/>
      <c r="P23" s="41"/>
      <c r="Q23" s="41"/>
      <c r="R23" s="41"/>
    </row>
    <row r="24" spans="1:18" ht="23.25" customHeight="1" x14ac:dyDescent="0.15">
      <c r="A24" s="68" t="s">
        <v>31</v>
      </c>
      <c r="B24" s="43"/>
      <c r="C24" s="43"/>
      <c r="D24" s="43"/>
      <c r="E24" s="43"/>
      <c r="F24" s="43"/>
      <c r="G24" s="43"/>
      <c r="H24" s="43"/>
      <c r="I24" s="43"/>
      <c r="J24" s="44"/>
      <c r="K24" s="66"/>
      <c r="L24" s="67"/>
      <c r="M24" s="7"/>
      <c r="N24" s="49"/>
      <c r="O24" s="50"/>
      <c r="P24" s="41"/>
      <c r="Q24" s="41"/>
      <c r="R24" s="41"/>
    </row>
    <row r="25" spans="1:18" ht="23.25" customHeight="1" x14ac:dyDescent="0.15">
      <c r="A25" s="69" t="s">
        <v>32</v>
      </c>
      <c r="B25" s="70"/>
      <c r="C25" s="70"/>
      <c r="D25" s="70"/>
      <c r="E25" s="70"/>
      <c r="F25" s="70"/>
      <c r="G25" s="70"/>
      <c r="H25" s="70"/>
      <c r="I25" s="70"/>
      <c r="J25" s="71"/>
      <c r="K25" s="66"/>
      <c r="L25" s="67"/>
      <c r="M25" s="7"/>
      <c r="N25" s="49"/>
      <c r="O25" s="50"/>
      <c r="P25" s="41"/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66"/>
      <c r="L26" s="67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66"/>
      <c r="L27" s="67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66"/>
      <c r="L28" s="67"/>
      <c r="M28" s="2"/>
      <c r="N28" s="49"/>
      <c r="O28" s="50"/>
      <c r="P28" s="41"/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65"/>
      <c r="L29" s="65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65"/>
      <c r="L30" s="65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65"/>
      <c r="L31" s="65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65"/>
      <c r="L32" s="65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65"/>
      <c r="L33" s="65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65"/>
      <c r="L34" s="65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65"/>
      <c r="L35" s="65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65"/>
      <c r="L36" s="65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65"/>
      <c r="L37" s="65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65"/>
      <c r="L38" s="65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103500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10350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113850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ABAD-B554-4AC8-A132-196A8135D9EA}">
  <dimension ref="A1:R50"/>
  <sheetViews>
    <sheetView zoomScaleNormal="100" workbookViewId="0">
      <selection activeCell="A20" sqref="A20:J23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44691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18</v>
      </c>
      <c r="B20" s="43"/>
      <c r="C20" s="43"/>
      <c r="D20" s="43"/>
      <c r="E20" s="43"/>
      <c r="F20" s="43"/>
      <c r="G20" s="43"/>
      <c r="H20" s="43"/>
      <c r="I20" s="43"/>
      <c r="J20" s="44"/>
      <c r="K20" s="65"/>
      <c r="L20" s="65"/>
      <c r="M20" s="6" t="s">
        <v>19</v>
      </c>
      <c r="N20" s="49">
        <v>29900</v>
      </c>
      <c r="O20" s="50"/>
      <c r="P20" s="41">
        <f>K20*N20</f>
        <v>0</v>
      </c>
      <c r="Q20" s="41"/>
      <c r="R20" s="41"/>
    </row>
    <row r="21" spans="1:18" ht="23.25" customHeight="1" x14ac:dyDescent="0.15">
      <c r="A21" s="42" t="s">
        <v>20</v>
      </c>
      <c r="B21" s="43"/>
      <c r="C21" s="43"/>
      <c r="D21" s="43"/>
      <c r="E21" s="43"/>
      <c r="F21" s="43"/>
      <c r="G21" s="43"/>
      <c r="H21" s="43"/>
      <c r="I21" s="43"/>
      <c r="J21" s="44"/>
      <c r="K21" s="65"/>
      <c r="L21" s="65"/>
      <c r="M21" s="6" t="s">
        <v>19</v>
      </c>
      <c r="N21" s="40">
        <v>30900</v>
      </c>
      <c r="O21" s="40"/>
      <c r="P21" s="41">
        <f>K21*N21</f>
        <v>0</v>
      </c>
      <c r="Q21" s="41"/>
      <c r="R21" s="41"/>
    </row>
    <row r="22" spans="1:18" ht="23.25" customHeight="1" x14ac:dyDescent="0.15">
      <c r="A22" s="42" t="s">
        <v>21</v>
      </c>
      <c r="B22" s="43"/>
      <c r="C22" s="43"/>
      <c r="D22" s="43"/>
      <c r="E22" s="43"/>
      <c r="F22" s="43"/>
      <c r="G22" s="43"/>
      <c r="H22" s="43"/>
      <c r="I22" s="43"/>
      <c r="J22" s="44"/>
      <c r="K22" s="65"/>
      <c r="L22" s="65"/>
      <c r="M22" s="6" t="s">
        <v>19</v>
      </c>
      <c r="N22" s="40">
        <v>33700</v>
      </c>
      <c r="O22" s="40"/>
      <c r="P22" s="41">
        <f>K22*N22</f>
        <v>0</v>
      </c>
      <c r="Q22" s="41"/>
      <c r="R22" s="41"/>
    </row>
    <row r="23" spans="1:18" ht="23.25" customHeight="1" x14ac:dyDescent="0.15">
      <c r="A23" s="42" t="s">
        <v>22</v>
      </c>
      <c r="B23" s="43"/>
      <c r="C23" s="43"/>
      <c r="D23" s="43"/>
      <c r="E23" s="43"/>
      <c r="F23" s="43"/>
      <c r="G23" s="43"/>
      <c r="H23" s="43"/>
      <c r="I23" s="43"/>
      <c r="J23" s="44"/>
      <c r="K23" s="65"/>
      <c r="L23" s="65"/>
      <c r="M23" s="6" t="s">
        <v>19</v>
      </c>
      <c r="N23" s="49">
        <v>40500</v>
      </c>
      <c r="O23" s="50"/>
      <c r="P23" s="41">
        <f>K23*N23</f>
        <v>0</v>
      </c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66"/>
      <c r="L24" s="67"/>
      <c r="M24" s="7"/>
      <c r="N24" s="49"/>
      <c r="O24" s="50"/>
      <c r="P24" s="41"/>
      <c r="Q24" s="41"/>
      <c r="R24" s="41"/>
    </row>
    <row r="25" spans="1:18" ht="23.25" customHeight="1" x14ac:dyDescent="0.15">
      <c r="A25" s="69" t="s">
        <v>33</v>
      </c>
      <c r="B25" s="70"/>
      <c r="C25" s="70"/>
      <c r="D25" s="70"/>
      <c r="E25" s="70"/>
      <c r="F25" s="70"/>
      <c r="G25" s="70"/>
      <c r="H25" s="70"/>
      <c r="I25" s="70"/>
      <c r="J25" s="71"/>
      <c r="K25" s="66"/>
      <c r="L25" s="67"/>
      <c r="M25" s="7"/>
      <c r="N25" s="49"/>
      <c r="O25" s="50"/>
      <c r="P25" s="41"/>
      <c r="Q25" s="41"/>
      <c r="R25" s="41"/>
    </row>
    <row r="26" spans="1:18" ht="23.25" customHeight="1" x14ac:dyDescent="0.15">
      <c r="A26" s="53" t="s">
        <v>24</v>
      </c>
      <c r="B26" s="54"/>
      <c r="C26" s="54"/>
      <c r="D26" s="54"/>
      <c r="E26" s="54"/>
      <c r="F26" s="54"/>
      <c r="G26" s="54"/>
      <c r="H26" s="54"/>
      <c r="I26" s="54"/>
      <c r="J26" s="55"/>
      <c r="K26" s="66"/>
      <c r="L26" s="67"/>
      <c r="M26" s="7"/>
      <c r="N26" s="49"/>
      <c r="O26" s="50"/>
      <c r="P26" s="41"/>
      <c r="Q26" s="41"/>
      <c r="R26" s="41"/>
    </row>
    <row r="27" spans="1:18" ht="23.25" customHeight="1" x14ac:dyDescent="0.15">
      <c r="A27" s="42" t="s">
        <v>34</v>
      </c>
      <c r="B27" s="43"/>
      <c r="C27" s="43"/>
      <c r="D27" s="43"/>
      <c r="E27" s="43"/>
      <c r="F27" s="43"/>
      <c r="G27" s="43"/>
      <c r="H27" s="43"/>
      <c r="I27" s="43"/>
      <c r="J27" s="44"/>
      <c r="K27" s="66"/>
      <c r="L27" s="67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66"/>
      <c r="L28" s="67"/>
      <c r="M28" s="2"/>
      <c r="N28" s="49"/>
      <c r="O28" s="50"/>
      <c r="P28" s="41"/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65"/>
      <c r="L29" s="65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65"/>
      <c r="L30" s="65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65"/>
      <c r="L31" s="65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65"/>
      <c r="L32" s="65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65"/>
      <c r="L33" s="65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65"/>
      <c r="L34" s="65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65"/>
      <c r="L35" s="65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65"/>
      <c r="L36" s="65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65"/>
      <c r="L37" s="65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65"/>
      <c r="L38" s="65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7D22-1BC1-4E80-A89C-CDE83F872146}">
  <dimension ref="A1:R50"/>
  <sheetViews>
    <sheetView view="pageBreakPreview" topLeftCell="A6" zoomScaleNormal="100" zoomScaleSheetLayoutView="100" workbookViewId="0">
      <selection activeCell="A23" sqref="A23:J23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>
        <v>100545</v>
      </c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f ca="1">TODAY()</f>
        <v>46070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48722.3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35</v>
      </c>
      <c r="B20" s="43"/>
      <c r="C20" s="43"/>
      <c r="D20" s="43"/>
      <c r="E20" s="43"/>
      <c r="F20" s="43"/>
      <c r="G20" s="43"/>
      <c r="H20" s="43"/>
      <c r="I20" s="43"/>
      <c r="J20" s="44"/>
      <c r="K20" s="39"/>
      <c r="L20" s="39"/>
      <c r="M20" s="6" t="s">
        <v>19</v>
      </c>
      <c r="N20" s="49">
        <v>32842</v>
      </c>
      <c r="O20" s="50"/>
      <c r="P20" s="41" t="str">
        <f>IF(K20="","",N20*K20)</f>
        <v/>
      </c>
      <c r="Q20" s="41"/>
      <c r="R20" s="41"/>
    </row>
    <row r="21" spans="1:18" ht="23.25" customHeight="1" x14ac:dyDescent="0.15">
      <c r="A21" s="42" t="s">
        <v>36</v>
      </c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 t="s">
        <v>19</v>
      </c>
      <c r="N21" s="40">
        <v>33922</v>
      </c>
      <c r="O21" s="40"/>
      <c r="P21" s="41" t="str">
        <f t="shared" ref="P21:P38" si="0">IF(K21="","",N21*K21)</f>
        <v/>
      </c>
      <c r="Q21" s="41"/>
      <c r="R21" s="41"/>
    </row>
    <row r="22" spans="1:18" ht="23.25" customHeight="1" x14ac:dyDescent="0.15">
      <c r="A22" s="42" t="s">
        <v>37</v>
      </c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 t="s">
        <v>19</v>
      </c>
      <c r="N22" s="40">
        <v>36840</v>
      </c>
      <c r="O22" s="40"/>
      <c r="P22" s="41" t="str">
        <f t="shared" si="0"/>
        <v/>
      </c>
      <c r="Q22" s="41"/>
      <c r="R22" s="41"/>
    </row>
    <row r="23" spans="1:18" ht="23.25" customHeight="1" x14ac:dyDescent="0.15">
      <c r="A23" s="42" t="s">
        <v>38</v>
      </c>
      <c r="B23" s="43"/>
      <c r="C23" s="43"/>
      <c r="D23" s="43"/>
      <c r="E23" s="43"/>
      <c r="F23" s="43"/>
      <c r="G23" s="43"/>
      <c r="H23" s="43"/>
      <c r="I23" s="43"/>
      <c r="J23" s="44"/>
      <c r="K23" s="39">
        <v>1</v>
      </c>
      <c r="L23" s="39"/>
      <c r="M23" s="6" t="s">
        <v>19</v>
      </c>
      <c r="N23" s="49">
        <v>44293</v>
      </c>
      <c r="O23" s="50"/>
      <c r="P23" s="41">
        <f t="shared" si="0"/>
        <v>44293</v>
      </c>
      <c r="Q23" s="41"/>
      <c r="R23" s="41"/>
    </row>
    <row r="24" spans="1:18" ht="23.25" customHeight="1" x14ac:dyDescent="0.15">
      <c r="A24" s="42" t="s">
        <v>39</v>
      </c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 t="s">
        <v>19</v>
      </c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42" t="s">
        <v>40</v>
      </c>
      <c r="B25" s="43"/>
      <c r="C25" s="43"/>
      <c r="D25" s="43"/>
      <c r="E25" s="43"/>
      <c r="F25" s="43"/>
      <c r="G25" s="43"/>
      <c r="H25" s="43"/>
      <c r="I25" s="43"/>
      <c r="J25" s="44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56" t="s">
        <v>41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72" t="s">
        <v>42</v>
      </c>
      <c r="B29" s="73"/>
      <c r="C29" s="73"/>
      <c r="D29" s="73"/>
      <c r="E29" s="73"/>
      <c r="F29" s="73"/>
      <c r="G29" s="73"/>
      <c r="H29" s="73"/>
      <c r="I29" s="73"/>
      <c r="J29" s="7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44293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4429.3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48722.3</v>
      </c>
      <c r="Q41" s="59"/>
      <c r="R41" s="59"/>
    </row>
    <row r="42" spans="1:18" ht="23.25" customHeight="1" x14ac:dyDescent="0.15">
      <c r="A42" s="16" t="s">
        <v>28</v>
      </c>
      <c r="B42" s="17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</row>
    <row r="43" spans="1:18" ht="23.25" customHeight="1" x14ac:dyDescent="0.15">
      <c r="A43" s="20"/>
      <c r="B43" s="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1">
    <mergeCell ref="A41:J41"/>
    <mergeCell ref="K41:L41"/>
    <mergeCell ref="N41:O41"/>
    <mergeCell ref="P41:R41"/>
    <mergeCell ref="C42:R43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2:J22"/>
    <mergeCell ref="K22:L22"/>
    <mergeCell ref="N22:O22"/>
    <mergeCell ref="P22:R22"/>
    <mergeCell ref="A18:R18"/>
    <mergeCell ref="A19:J19"/>
    <mergeCell ref="K19:L19"/>
    <mergeCell ref="N19:O19"/>
    <mergeCell ref="P19:R19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21:J21"/>
    <mergeCell ref="K21:L21"/>
    <mergeCell ref="N21:O21"/>
    <mergeCell ref="P21:R21"/>
  </mergeCells>
  <phoneticPr fontId="2"/>
  <pageMargins left="0.62992125984251968" right="0.51181102362204722" top="0.39370078740157483" bottom="0.31496062992125984" header="0.39370078740157483" footer="0.51181102362204722"/>
  <pageSetup paperSize="9" scale="9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0643-D2A7-461F-A399-A56FC9FF06CF}">
  <dimension ref="A1:R51"/>
  <sheetViews>
    <sheetView tabSelected="1" zoomScaleNormal="100" workbookViewId="0">
      <selection activeCell="A3" sqref="A3:R3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ht="60" customHeight="1" x14ac:dyDescent="0.15">
      <c r="A1" s="21" t="s">
        <v>43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x14ac:dyDescent="0.15">
      <c r="Q2" s="1" t="s">
        <v>0</v>
      </c>
      <c r="R2" s="1">
        <v>113790</v>
      </c>
    </row>
    <row r="3" spans="1:18" ht="27.75" customHeight="1" x14ac:dyDescent="0.15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x14ac:dyDescent="0.1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7.25" customHeight="1" x14ac:dyDescent="0.15">
      <c r="A5" s="25">
        <v>45611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4.5" customHeight="1" x14ac:dyDescent="0.15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8" spans="1:18" ht="21" customHeight="1" x14ac:dyDescent="0.15">
      <c r="A8" s="26" t="s">
        <v>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8" x14ac:dyDescent="0.15">
      <c r="O9" s="27"/>
      <c r="P9" s="24"/>
      <c r="Q9" s="24"/>
      <c r="R9" s="24"/>
    </row>
    <row r="10" spans="1:18" ht="3" customHeight="1" x14ac:dyDescent="0.15"/>
    <row r="11" spans="1:18" ht="21" customHeight="1" x14ac:dyDescent="0.15">
      <c r="L11" s="9" t="s">
        <v>4</v>
      </c>
      <c r="M11" s="3"/>
    </row>
    <row r="12" spans="1:18" ht="19.5" customHeight="1" x14ac:dyDescent="0.15">
      <c r="A12" s="8" t="s">
        <v>5</v>
      </c>
      <c r="B12" s="8"/>
      <c r="C12" s="8"/>
      <c r="D12" s="8"/>
      <c r="E12" s="8"/>
      <c r="F12" s="8"/>
      <c r="G12" s="8"/>
      <c r="H12" s="8"/>
      <c r="I12" s="8"/>
      <c r="J12" s="8"/>
      <c r="L12" s="11" t="s">
        <v>6</v>
      </c>
      <c r="M12" s="11"/>
    </row>
    <row r="13" spans="1:18" ht="18" customHeight="1" x14ac:dyDescent="0.15">
      <c r="A13" s="8" t="s">
        <v>7</v>
      </c>
      <c r="B13" s="8"/>
      <c r="C13" s="8"/>
      <c r="D13" s="8"/>
      <c r="E13" s="8"/>
      <c r="F13" s="8"/>
      <c r="G13" s="8"/>
      <c r="H13" s="8"/>
      <c r="I13" s="8"/>
      <c r="J13" s="8"/>
      <c r="L13" t="s">
        <v>8</v>
      </c>
    </row>
    <row r="14" spans="1:18" ht="18" customHeight="1" x14ac:dyDescent="0.15">
      <c r="A14" s="8"/>
      <c r="B14" s="8"/>
      <c r="C14" s="8"/>
      <c r="D14" s="8"/>
      <c r="E14" s="8"/>
      <c r="F14" s="8"/>
      <c r="G14" s="8"/>
      <c r="H14" s="8"/>
      <c r="I14" s="8"/>
      <c r="J14" s="8"/>
      <c r="L14" t="s">
        <v>9</v>
      </c>
    </row>
    <row r="15" spans="1:18" ht="3.75" customHeight="1" x14ac:dyDescent="0.15"/>
    <row r="16" spans="1:18" ht="4.5" customHeight="1" x14ac:dyDescent="0.15"/>
    <row r="17" spans="1:18" ht="9.75" customHeight="1" x14ac:dyDescent="0.15">
      <c r="A17" s="28" t="s">
        <v>10</v>
      </c>
      <c r="B17" s="29"/>
      <c r="C17" s="29"/>
      <c r="D17" s="29"/>
      <c r="E17" s="32">
        <f>P42</f>
        <v>142841</v>
      </c>
      <c r="F17" s="33"/>
      <c r="G17" s="33"/>
      <c r="H17" s="33"/>
      <c r="I17" s="12"/>
      <c r="J17" s="14"/>
    </row>
    <row r="18" spans="1:18" ht="45" customHeight="1" x14ac:dyDescent="0.15">
      <c r="A18" s="30"/>
      <c r="B18" s="31"/>
      <c r="C18" s="31"/>
      <c r="D18" s="31"/>
      <c r="E18" s="34"/>
      <c r="F18" s="35"/>
      <c r="G18" s="35"/>
      <c r="H18" s="35"/>
      <c r="I18" s="13"/>
      <c r="J18" s="15"/>
      <c r="K18" t="s">
        <v>11</v>
      </c>
    </row>
    <row r="19" spans="1:18" ht="15" customHeight="1" x14ac:dyDescent="0.15">
      <c r="A19" s="42" t="s">
        <v>12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/>
    </row>
    <row r="20" spans="1:18" ht="23.25" customHeight="1" x14ac:dyDescent="0.15">
      <c r="A20" s="45" t="s">
        <v>13</v>
      </c>
      <c r="B20" s="46"/>
      <c r="C20" s="46"/>
      <c r="D20" s="46"/>
      <c r="E20" s="46"/>
      <c r="F20" s="46"/>
      <c r="G20" s="46"/>
      <c r="H20" s="46"/>
      <c r="I20" s="46"/>
      <c r="J20" s="47"/>
      <c r="K20" s="48" t="s">
        <v>14</v>
      </c>
      <c r="L20" s="48"/>
      <c r="M20" s="4" t="s">
        <v>15</v>
      </c>
      <c r="N20" s="48" t="s">
        <v>16</v>
      </c>
      <c r="O20" s="48"/>
      <c r="P20" s="48" t="s">
        <v>17</v>
      </c>
      <c r="Q20" s="48"/>
      <c r="R20" s="48"/>
    </row>
    <row r="21" spans="1:18" ht="23.25" customHeight="1" x14ac:dyDescent="0.15">
      <c r="A21" s="36" t="s">
        <v>52</v>
      </c>
      <c r="B21" s="37"/>
      <c r="C21" s="37"/>
      <c r="D21" s="37"/>
      <c r="E21" s="37"/>
      <c r="F21" s="37"/>
      <c r="G21" s="37"/>
      <c r="H21" s="37"/>
      <c r="I21" s="37"/>
      <c r="J21" s="38"/>
      <c r="K21" s="39">
        <v>1</v>
      </c>
      <c r="L21" s="39"/>
      <c r="M21" s="6" t="s">
        <v>19</v>
      </c>
      <c r="N21" s="49">
        <v>32842</v>
      </c>
      <c r="O21" s="50"/>
      <c r="P21" s="41">
        <f>IF(K21="","",K21*N21)</f>
        <v>32842</v>
      </c>
      <c r="Q21" s="41"/>
      <c r="R21" s="41"/>
    </row>
    <row r="22" spans="1:18" ht="23.25" customHeight="1" x14ac:dyDescent="0.15">
      <c r="A22" s="36" t="s">
        <v>53</v>
      </c>
      <c r="B22" s="37"/>
      <c r="C22" s="37"/>
      <c r="D22" s="37"/>
      <c r="E22" s="37"/>
      <c r="F22" s="37"/>
      <c r="G22" s="37"/>
      <c r="H22" s="37"/>
      <c r="I22" s="37"/>
      <c r="J22" s="38"/>
      <c r="K22" s="39"/>
      <c r="L22" s="39"/>
      <c r="M22" s="6" t="s">
        <v>19</v>
      </c>
      <c r="N22" s="40">
        <v>33922</v>
      </c>
      <c r="O22" s="40"/>
      <c r="P22" s="41" t="str">
        <f t="shared" ref="P22:P39" si="0">IF(K22="","",K22*N22)</f>
        <v/>
      </c>
      <c r="Q22" s="41"/>
      <c r="R22" s="41"/>
    </row>
    <row r="23" spans="1:18" ht="23.25" customHeight="1" x14ac:dyDescent="0.15">
      <c r="A23" s="36" t="s">
        <v>54</v>
      </c>
      <c r="B23" s="37"/>
      <c r="C23" s="37"/>
      <c r="D23" s="37"/>
      <c r="E23" s="37"/>
      <c r="F23" s="37"/>
      <c r="G23" s="37"/>
      <c r="H23" s="37"/>
      <c r="I23" s="37"/>
      <c r="J23" s="38"/>
      <c r="K23" s="39"/>
      <c r="L23" s="39"/>
      <c r="M23" s="6" t="s">
        <v>19</v>
      </c>
      <c r="N23" s="40">
        <v>36840</v>
      </c>
      <c r="O23" s="40"/>
      <c r="P23" s="41" t="str">
        <f t="shared" si="0"/>
        <v/>
      </c>
      <c r="Q23" s="41"/>
      <c r="R23" s="41"/>
    </row>
    <row r="24" spans="1:18" ht="23.25" customHeight="1" x14ac:dyDescent="0.15">
      <c r="A24" s="36" t="s">
        <v>55</v>
      </c>
      <c r="B24" s="37"/>
      <c r="C24" s="37"/>
      <c r="D24" s="37"/>
      <c r="E24" s="37"/>
      <c r="F24" s="37"/>
      <c r="G24" s="37"/>
      <c r="H24" s="37"/>
      <c r="I24" s="37"/>
      <c r="J24" s="38"/>
      <c r="K24" s="39"/>
      <c r="L24" s="39"/>
      <c r="M24" s="6" t="s">
        <v>19</v>
      </c>
      <c r="N24" s="49">
        <v>44293</v>
      </c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36" t="s">
        <v>56</v>
      </c>
      <c r="B25" s="37"/>
      <c r="C25" s="37"/>
      <c r="D25" s="37"/>
      <c r="E25" s="37"/>
      <c r="F25" s="37"/>
      <c r="G25" s="37"/>
      <c r="H25" s="37"/>
      <c r="I25" s="37"/>
      <c r="J25" s="38"/>
      <c r="K25" s="51">
        <v>1</v>
      </c>
      <c r="L25" s="52"/>
      <c r="M25" s="7" t="s">
        <v>19</v>
      </c>
      <c r="N25" s="49">
        <v>97013</v>
      </c>
      <c r="O25" s="50"/>
      <c r="P25" s="41">
        <f t="shared" si="0"/>
        <v>97013</v>
      </c>
      <c r="Q25" s="41"/>
      <c r="R25" s="41"/>
    </row>
    <row r="26" spans="1:18" ht="23.25" customHeight="1" x14ac:dyDescent="0.15">
      <c r="A26" s="42" t="s">
        <v>115</v>
      </c>
      <c r="B26" s="43"/>
      <c r="C26" s="43"/>
      <c r="D26" s="43"/>
      <c r="E26" s="43"/>
      <c r="F26" s="43"/>
      <c r="G26" s="43"/>
      <c r="H26" s="43"/>
      <c r="I26" s="43"/>
      <c r="J26" s="44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7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7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66"/>
      <c r="L29" s="67"/>
      <c r="M29" s="2"/>
      <c r="N29" s="49"/>
      <c r="O29" s="50"/>
      <c r="P29" s="41" t="str">
        <f t="shared" si="0"/>
        <v/>
      </c>
      <c r="Q29" s="41"/>
      <c r="R29" s="41"/>
    </row>
    <row r="30" spans="1:18" ht="23.25" customHeight="1" x14ac:dyDescent="0.15">
      <c r="A30" s="42" t="s">
        <v>44</v>
      </c>
      <c r="B30" s="43"/>
      <c r="C30" s="43"/>
      <c r="D30" s="43"/>
      <c r="E30" s="43"/>
      <c r="F30" s="43"/>
      <c r="G30" s="43"/>
      <c r="H30" s="43"/>
      <c r="I30" s="43"/>
      <c r="J30" s="44"/>
      <c r="K30" s="65"/>
      <c r="L30" s="65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75" t="s">
        <v>116</v>
      </c>
      <c r="B31" s="76"/>
      <c r="C31" s="76"/>
      <c r="D31" s="76"/>
      <c r="E31" s="76"/>
      <c r="F31" s="76"/>
      <c r="G31" s="76"/>
      <c r="H31" s="76"/>
      <c r="I31" s="76"/>
      <c r="J31" s="77"/>
      <c r="K31" s="65"/>
      <c r="L31" s="65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53" t="s">
        <v>45</v>
      </c>
      <c r="B32" s="54"/>
      <c r="C32" s="54"/>
      <c r="D32" s="54"/>
      <c r="E32" s="54"/>
      <c r="F32" s="54"/>
      <c r="G32" s="54"/>
      <c r="H32" s="54"/>
      <c r="I32" s="54"/>
      <c r="J32" s="55"/>
      <c r="K32" s="65"/>
      <c r="L32" s="65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 t="s">
        <v>117</v>
      </c>
      <c r="B33" s="43"/>
      <c r="C33" s="43"/>
      <c r="D33" s="43"/>
      <c r="E33" s="43"/>
      <c r="F33" s="43"/>
      <c r="G33" s="43"/>
      <c r="H33" s="43"/>
      <c r="I33" s="43"/>
      <c r="J33" s="44"/>
      <c r="K33" s="65"/>
      <c r="L33" s="65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 t="s">
        <v>118</v>
      </c>
      <c r="B34" s="43"/>
      <c r="C34" s="43"/>
      <c r="D34" s="43"/>
      <c r="E34" s="43"/>
      <c r="F34" s="43"/>
      <c r="G34" s="43"/>
      <c r="H34" s="43"/>
      <c r="I34" s="43"/>
      <c r="J34" s="44"/>
      <c r="K34" s="65"/>
      <c r="L34" s="65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 t="s">
        <v>119</v>
      </c>
      <c r="B35" s="43"/>
      <c r="C35" s="43"/>
      <c r="D35" s="43"/>
      <c r="E35" s="43"/>
      <c r="F35" s="43"/>
      <c r="G35" s="43"/>
      <c r="H35" s="43"/>
      <c r="I35" s="43"/>
      <c r="J35" s="44"/>
      <c r="K35" s="65"/>
      <c r="L35" s="65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65"/>
      <c r="L36" s="65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65"/>
      <c r="L37" s="65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65"/>
      <c r="L38" s="65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42"/>
      <c r="B39" s="43"/>
      <c r="C39" s="43"/>
      <c r="D39" s="43"/>
      <c r="E39" s="43"/>
      <c r="F39" s="43"/>
      <c r="G39" s="43"/>
      <c r="H39" s="43"/>
      <c r="I39" s="43"/>
      <c r="J39" s="44"/>
      <c r="K39" s="65"/>
      <c r="L39" s="65"/>
      <c r="M39" s="2"/>
      <c r="N39" s="40"/>
      <c r="O39" s="40"/>
      <c r="P39" s="41" t="str">
        <f t="shared" si="0"/>
        <v/>
      </c>
      <c r="Q39" s="41"/>
      <c r="R39" s="41"/>
    </row>
    <row r="40" spans="1:18" ht="23.25" customHeight="1" x14ac:dyDescent="0.15">
      <c r="A40" s="51" t="s">
        <v>25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SUM(P21:R39)</f>
        <v>129855</v>
      </c>
      <c r="Q40" s="41"/>
      <c r="R40" s="41"/>
    </row>
    <row r="41" spans="1:18" ht="23.25" customHeight="1" x14ac:dyDescent="0.15">
      <c r="A41" s="51" t="s">
        <v>26</v>
      </c>
      <c r="B41" s="64"/>
      <c r="C41" s="64"/>
      <c r="D41" s="64"/>
      <c r="E41" s="64"/>
      <c r="F41" s="64"/>
      <c r="G41" s="64"/>
      <c r="H41" s="64"/>
      <c r="I41" s="64"/>
      <c r="J41" s="52"/>
      <c r="K41" s="65"/>
      <c r="L41" s="65"/>
      <c r="M41" s="2"/>
      <c r="N41" s="40"/>
      <c r="O41" s="40"/>
      <c r="P41" s="41">
        <f>ROUND(P40*0.1,0)</f>
        <v>12986</v>
      </c>
      <c r="Q41" s="41"/>
      <c r="R41" s="41"/>
    </row>
    <row r="42" spans="1:18" ht="23.25" customHeight="1" x14ac:dyDescent="0.15">
      <c r="A42" s="45" t="s">
        <v>27</v>
      </c>
      <c r="B42" s="46"/>
      <c r="C42" s="46"/>
      <c r="D42" s="46"/>
      <c r="E42" s="46"/>
      <c r="F42" s="46"/>
      <c r="G42" s="46"/>
      <c r="H42" s="46"/>
      <c r="I42" s="46"/>
      <c r="J42" s="47"/>
      <c r="K42" s="57"/>
      <c r="L42" s="57"/>
      <c r="M42" s="4"/>
      <c r="N42" s="58"/>
      <c r="O42" s="58"/>
      <c r="P42" s="59">
        <f>SUM(P40:R41)</f>
        <v>142841</v>
      </c>
      <c r="Q42" s="59"/>
      <c r="R42" s="59"/>
    </row>
    <row r="43" spans="1:18" ht="23.25" customHeight="1" x14ac:dyDescent="0.15">
      <c r="A43" s="16" t="s">
        <v>28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8"/>
    </row>
    <row r="44" spans="1:18" ht="23.25" customHeight="1" x14ac:dyDescent="0.15">
      <c r="A44" s="2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9"/>
    </row>
    <row r="48" spans="1:18" ht="18.75" x14ac:dyDescent="0.15">
      <c r="B48" s="10"/>
    </row>
    <row r="49" spans="2:2" ht="7.5" customHeight="1" x14ac:dyDescent="0.15"/>
    <row r="50" spans="2:2" ht="15" x14ac:dyDescent="0.15">
      <c r="B50" s="11"/>
    </row>
    <row r="51" spans="2:2" ht="9.75" customHeight="1" x14ac:dyDescent="0.15"/>
  </sheetData>
  <mergeCells count="100">
    <mergeCell ref="A21:J21"/>
    <mergeCell ref="K21:L21"/>
    <mergeCell ref="N21:O21"/>
    <mergeCell ref="P21:R21"/>
    <mergeCell ref="A3:R3"/>
    <mergeCell ref="A4:R4"/>
    <mergeCell ref="A5:R5"/>
    <mergeCell ref="A8:M8"/>
    <mergeCell ref="O9:R9"/>
    <mergeCell ref="A17:D18"/>
    <mergeCell ref="E17:H18"/>
    <mergeCell ref="A19:R19"/>
    <mergeCell ref="A20:J20"/>
    <mergeCell ref="K20:L20"/>
    <mergeCell ref="N20:O20"/>
    <mergeCell ref="P20:R20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K33:L33"/>
    <mergeCell ref="N33:O33"/>
    <mergeCell ref="P33:R33"/>
    <mergeCell ref="A33:J33"/>
    <mergeCell ref="K34:L34"/>
    <mergeCell ref="N34:O34"/>
    <mergeCell ref="P34:R34"/>
    <mergeCell ref="A35:J35"/>
    <mergeCell ref="K35:L35"/>
    <mergeCell ref="N35:O35"/>
    <mergeCell ref="P35:R35"/>
    <mergeCell ref="A34:J34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39:J39"/>
    <mergeCell ref="K39:L39"/>
    <mergeCell ref="N39:O39"/>
    <mergeCell ref="P39:R39"/>
    <mergeCell ref="A42:J42"/>
    <mergeCell ref="K42:L42"/>
    <mergeCell ref="N42:O42"/>
    <mergeCell ref="P42:R42"/>
    <mergeCell ref="A40:J40"/>
    <mergeCell ref="K40:L40"/>
    <mergeCell ref="N40:O40"/>
    <mergeCell ref="P40:R40"/>
    <mergeCell ref="A41:J41"/>
    <mergeCell ref="K41:L41"/>
    <mergeCell ref="N41:O41"/>
    <mergeCell ref="P41:R41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F7C6-7DD5-4781-B510-35E1E216CE15}">
  <dimension ref="A1:R50"/>
  <sheetViews>
    <sheetView view="pageBreakPreview" topLeftCell="A8" zoomScaleNormal="100" zoomScaleSheetLayoutView="100" workbookViewId="0">
      <selection activeCell="V13" sqref="V13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f ca="1">TODAY()</f>
        <v>46070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2279288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35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20</v>
      </c>
      <c r="L20" s="39"/>
      <c r="M20" s="6" t="s">
        <v>19</v>
      </c>
      <c r="N20" s="49">
        <v>32842</v>
      </c>
      <c r="O20" s="50"/>
      <c r="P20" s="41">
        <f>IF(K20="","",N20*K20)</f>
        <v>656840</v>
      </c>
      <c r="Q20" s="41"/>
      <c r="R20" s="41"/>
    </row>
    <row r="21" spans="1:18" ht="23.25" customHeight="1" x14ac:dyDescent="0.15">
      <c r="A21" s="42" t="s">
        <v>36</v>
      </c>
      <c r="B21" s="43"/>
      <c r="C21" s="43"/>
      <c r="D21" s="43"/>
      <c r="E21" s="43"/>
      <c r="F21" s="43"/>
      <c r="G21" s="43"/>
      <c r="H21" s="43"/>
      <c r="I21" s="43"/>
      <c r="J21" s="44"/>
      <c r="K21" s="39">
        <v>20</v>
      </c>
      <c r="L21" s="39"/>
      <c r="M21" s="6" t="s">
        <v>19</v>
      </c>
      <c r="N21" s="40">
        <v>33922</v>
      </c>
      <c r="O21" s="40"/>
      <c r="P21" s="41">
        <f t="shared" ref="P21:P38" si="0">IF(K21="","",N21*K21)</f>
        <v>678440</v>
      </c>
      <c r="Q21" s="41"/>
      <c r="R21" s="41"/>
    </row>
    <row r="22" spans="1:18" ht="23.25" customHeight="1" x14ac:dyDescent="0.15">
      <c r="A22" s="42" t="s">
        <v>37</v>
      </c>
      <c r="B22" s="43"/>
      <c r="C22" s="43"/>
      <c r="D22" s="43"/>
      <c r="E22" s="43"/>
      <c r="F22" s="43"/>
      <c r="G22" s="43"/>
      <c r="H22" s="43"/>
      <c r="I22" s="43"/>
      <c r="J22" s="44"/>
      <c r="K22" s="39">
        <v>20</v>
      </c>
      <c r="L22" s="39"/>
      <c r="M22" s="6" t="s">
        <v>19</v>
      </c>
      <c r="N22" s="40">
        <v>36840</v>
      </c>
      <c r="O22" s="40"/>
      <c r="P22" s="41">
        <f t="shared" si="0"/>
        <v>736800</v>
      </c>
      <c r="Q22" s="41"/>
      <c r="R22" s="41"/>
    </row>
    <row r="23" spans="1:18" ht="23.25" customHeight="1" x14ac:dyDescent="0.15">
      <c r="A23" s="42" t="s">
        <v>38</v>
      </c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 t="s">
        <v>19</v>
      </c>
      <c r="N23" s="49">
        <v>44293</v>
      </c>
      <c r="O23" s="50"/>
      <c r="P23" s="41" t="str">
        <f t="shared" si="0"/>
        <v/>
      </c>
      <c r="Q23" s="41"/>
      <c r="R23" s="41"/>
    </row>
    <row r="24" spans="1:18" ht="23.25" customHeight="1" x14ac:dyDescent="0.15">
      <c r="A24" s="42" t="s">
        <v>39</v>
      </c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 t="s">
        <v>19</v>
      </c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42" t="s">
        <v>40</v>
      </c>
      <c r="B25" s="43"/>
      <c r="C25" s="43"/>
      <c r="D25" s="43"/>
      <c r="E25" s="43"/>
      <c r="F25" s="43"/>
      <c r="G25" s="43"/>
      <c r="H25" s="43"/>
      <c r="I25" s="43"/>
      <c r="J25" s="44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56" t="s">
        <v>46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72" t="s">
        <v>47</v>
      </c>
      <c r="B29" s="73"/>
      <c r="C29" s="73"/>
      <c r="D29" s="73"/>
      <c r="E29" s="73"/>
      <c r="F29" s="73"/>
      <c r="G29" s="73"/>
      <c r="H29" s="73"/>
      <c r="I29" s="73"/>
      <c r="J29" s="7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 t="s">
        <v>48</v>
      </c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2072080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207208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2279288</v>
      </c>
      <c r="Q41" s="59"/>
      <c r="R41" s="59"/>
    </row>
    <row r="42" spans="1:18" ht="23.25" customHeight="1" x14ac:dyDescent="0.15">
      <c r="A42" s="16" t="s">
        <v>28</v>
      </c>
      <c r="B42" s="17"/>
      <c r="C42" s="60" t="s">
        <v>49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</row>
    <row r="43" spans="1:18" ht="23.25" customHeight="1" x14ac:dyDescent="0.15">
      <c r="A43" s="20"/>
      <c r="B43" s="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1"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28:J28"/>
    <mergeCell ref="K28:L28"/>
    <mergeCell ref="N28:O28"/>
    <mergeCell ref="P28:R28"/>
    <mergeCell ref="K31:L31"/>
    <mergeCell ref="N31:O31"/>
    <mergeCell ref="P31:R31"/>
    <mergeCell ref="A32:J32"/>
    <mergeCell ref="K32:L32"/>
    <mergeCell ref="N32:O32"/>
    <mergeCell ref="P32:R32"/>
    <mergeCell ref="K29:L29"/>
    <mergeCell ref="N29:O29"/>
    <mergeCell ref="P29:R29"/>
    <mergeCell ref="K30:L30"/>
    <mergeCell ref="N30:O30"/>
    <mergeCell ref="P30:R30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C42:R43"/>
    <mergeCell ref="A29:J29"/>
    <mergeCell ref="A30:J30"/>
    <mergeCell ref="A31:J31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</mergeCells>
  <phoneticPr fontId="2"/>
  <pageMargins left="0.62992125984251968" right="0.51181102362204722" top="0.39370078740157483" bottom="0.31496062992125984" header="0.39370078740157483" footer="0.51181102362204722"/>
  <pageSetup paperSize="9" scale="9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F8ECE-1656-4CB4-A008-199F0C2D67B1}">
  <dimension ref="A1:R50"/>
  <sheetViews>
    <sheetView view="pageBreakPreview" topLeftCell="A17" zoomScale="85" zoomScaleNormal="100" zoomScaleSheetLayoutView="85" workbookViewId="0">
      <selection activeCell="K21" sqref="K21:L21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f ca="1">NOW()</f>
        <v>46070.497929282406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482357.7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35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19</v>
      </c>
      <c r="N20" s="49">
        <v>32842</v>
      </c>
      <c r="O20" s="50"/>
      <c r="P20" s="41">
        <f>IF(K20="","",N20*K20)</f>
        <v>32842</v>
      </c>
      <c r="Q20" s="41"/>
      <c r="R20" s="41"/>
    </row>
    <row r="21" spans="1:18" ht="23.25" customHeight="1" x14ac:dyDescent="0.15">
      <c r="A21" s="42" t="s">
        <v>36</v>
      </c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 t="s">
        <v>19</v>
      </c>
      <c r="N21" s="40">
        <v>33922</v>
      </c>
      <c r="O21" s="40"/>
      <c r="P21" s="41" t="str">
        <f t="shared" ref="P21:P38" si="0">IF(K21="","",N21*K21)</f>
        <v/>
      </c>
      <c r="Q21" s="41"/>
      <c r="R21" s="41"/>
    </row>
    <row r="22" spans="1:18" ht="23.25" customHeight="1" x14ac:dyDescent="0.15">
      <c r="A22" s="42" t="s">
        <v>37</v>
      </c>
      <c r="B22" s="43"/>
      <c r="C22" s="43"/>
      <c r="D22" s="43"/>
      <c r="E22" s="43"/>
      <c r="F22" s="43"/>
      <c r="G22" s="43"/>
      <c r="H22" s="43"/>
      <c r="I22" s="43"/>
      <c r="J22" s="44"/>
      <c r="K22" s="39">
        <v>5</v>
      </c>
      <c r="L22" s="39"/>
      <c r="M22" s="6" t="s">
        <v>19</v>
      </c>
      <c r="N22" s="40">
        <v>36840</v>
      </c>
      <c r="O22" s="40"/>
      <c r="P22" s="41">
        <f t="shared" si="0"/>
        <v>184200</v>
      </c>
      <c r="Q22" s="41"/>
      <c r="R22" s="41"/>
    </row>
    <row r="23" spans="1:18" ht="23.25" customHeight="1" x14ac:dyDescent="0.15">
      <c r="A23" s="42" t="s">
        <v>38</v>
      </c>
      <c r="B23" s="43"/>
      <c r="C23" s="43"/>
      <c r="D23" s="43"/>
      <c r="E23" s="43"/>
      <c r="F23" s="43"/>
      <c r="G23" s="43"/>
      <c r="H23" s="43"/>
      <c r="I23" s="43"/>
      <c r="J23" s="44"/>
      <c r="K23" s="39">
        <v>5</v>
      </c>
      <c r="L23" s="39"/>
      <c r="M23" s="6" t="s">
        <v>19</v>
      </c>
      <c r="N23" s="49">
        <v>44293</v>
      </c>
      <c r="O23" s="50"/>
      <c r="P23" s="41">
        <f t="shared" si="0"/>
        <v>221465</v>
      </c>
      <c r="Q23" s="41"/>
      <c r="R23" s="41"/>
    </row>
    <row r="24" spans="1:18" ht="23.25" customHeight="1" x14ac:dyDescent="0.15">
      <c r="A24" s="42" t="s">
        <v>39</v>
      </c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 t="s">
        <v>19</v>
      </c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42" t="s">
        <v>40</v>
      </c>
      <c r="B25" s="43"/>
      <c r="C25" s="43"/>
      <c r="D25" s="43"/>
      <c r="E25" s="43"/>
      <c r="F25" s="43"/>
      <c r="G25" s="43"/>
      <c r="H25" s="43"/>
      <c r="I25" s="43"/>
      <c r="J25" s="44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56" t="s">
        <v>50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 t="s">
        <v>51</v>
      </c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438507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43850.700000000004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482357.7</v>
      </c>
      <c r="Q41" s="59"/>
      <c r="R41" s="59"/>
    </row>
    <row r="42" spans="1:18" ht="23.25" customHeight="1" x14ac:dyDescent="0.15">
      <c r="A42" s="16" t="s">
        <v>28</v>
      </c>
      <c r="B42" s="17"/>
      <c r="C42" s="60" t="s">
        <v>49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</row>
    <row r="43" spans="1:18" ht="23.25" customHeight="1" x14ac:dyDescent="0.15">
      <c r="A43" s="20"/>
      <c r="B43" s="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1">
    <mergeCell ref="A41:J41"/>
    <mergeCell ref="K41:L41"/>
    <mergeCell ref="N41:O41"/>
    <mergeCell ref="P41:R41"/>
    <mergeCell ref="C42:R43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2:J22"/>
    <mergeCell ref="K22:L22"/>
    <mergeCell ref="N22:O22"/>
    <mergeCell ref="P22:R22"/>
    <mergeCell ref="A18:R18"/>
    <mergeCell ref="A19:J19"/>
    <mergeCell ref="K19:L19"/>
    <mergeCell ref="N19:O19"/>
    <mergeCell ref="P19:R19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21:J21"/>
    <mergeCell ref="K21:L21"/>
    <mergeCell ref="N21:O21"/>
    <mergeCell ref="P21:R21"/>
  </mergeCells>
  <phoneticPr fontId="2"/>
  <pageMargins left="0.62992125984251968" right="0.51181102362204722" top="0.39370078740157483" bottom="0.31496062992125984" header="0.39370078740157483" footer="0.51181102362204722"/>
  <pageSetup paperSize="9" scale="9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9B80-1832-4AF8-9A22-197C104D14C8}">
  <dimension ref="A1:R50"/>
  <sheetViews>
    <sheetView view="pageBreakPreview" topLeftCell="A16" zoomScaleNormal="100" zoomScaleSheetLayoutView="100" workbookViewId="0">
      <selection activeCell="N20" sqref="N20:O20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f ca="1">TODAY()</f>
        <v>46070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446231.5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36" t="s">
        <v>52</v>
      </c>
      <c r="B20" s="37"/>
      <c r="C20" s="37"/>
      <c r="D20" s="37"/>
      <c r="E20" s="37"/>
      <c r="F20" s="37"/>
      <c r="G20" s="37"/>
      <c r="H20" s="37"/>
      <c r="I20" s="37"/>
      <c r="J20" s="38"/>
      <c r="K20" s="39"/>
      <c r="L20" s="39"/>
      <c r="M20" s="6" t="s">
        <v>19</v>
      </c>
      <c r="N20" s="49">
        <v>32842</v>
      </c>
      <c r="O20" s="50"/>
      <c r="P20" s="41" t="str">
        <f>IF(K20="","",N20*K20)</f>
        <v/>
      </c>
      <c r="Q20" s="41"/>
      <c r="R20" s="41"/>
    </row>
    <row r="21" spans="1:18" ht="23.25" customHeight="1" x14ac:dyDescent="0.15">
      <c r="A21" s="36" t="s">
        <v>53</v>
      </c>
      <c r="B21" s="37"/>
      <c r="C21" s="37"/>
      <c r="D21" s="37"/>
      <c r="E21" s="37"/>
      <c r="F21" s="37"/>
      <c r="G21" s="37"/>
      <c r="H21" s="37"/>
      <c r="I21" s="37"/>
      <c r="J21" s="38"/>
      <c r="K21" s="39"/>
      <c r="L21" s="39"/>
      <c r="M21" s="6" t="s">
        <v>19</v>
      </c>
      <c r="N21" s="40">
        <v>33922</v>
      </c>
      <c r="O21" s="40"/>
      <c r="P21" s="41" t="str">
        <f t="shared" ref="P21:P38" si="0">IF(K21="","",N21*K21)</f>
        <v/>
      </c>
      <c r="Q21" s="41"/>
      <c r="R21" s="41"/>
    </row>
    <row r="22" spans="1:18" ht="23.25" customHeight="1" x14ac:dyDescent="0.15">
      <c r="A22" s="36" t="s">
        <v>54</v>
      </c>
      <c r="B22" s="37"/>
      <c r="C22" s="37"/>
      <c r="D22" s="37"/>
      <c r="E22" s="37"/>
      <c r="F22" s="37"/>
      <c r="G22" s="37"/>
      <c r="H22" s="37"/>
      <c r="I22" s="37"/>
      <c r="J22" s="38"/>
      <c r="K22" s="39">
        <v>5</v>
      </c>
      <c r="L22" s="39"/>
      <c r="M22" s="6" t="s">
        <v>19</v>
      </c>
      <c r="N22" s="40">
        <v>36840</v>
      </c>
      <c r="O22" s="40"/>
      <c r="P22" s="41">
        <f t="shared" si="0"/>
        <v>184200</v>
      </c>
      <c r="Q22" s="41"/>
      <c r="R22" s="41"/>
    </row>
    <row r="23" spans="1:18" ht="23.25" customHeight="1" x14ac:dyDescent="0.15">
      <c r="A23" s="36" t="s">
        <v>55</v>
      </c>
      <c r="B23" s="37"/>
      <c r="C23" s="37"/>
      <c r="D23" s="37"/>
      <c r="E23" s="37"/>
      <c r="F23" s="37"/>
      <c r="G23" s="37"/>
      <c r="H23" s="37"/>
      <c r="I23" s="37"/>
      <c r="J23" s="38"/>
      <c r="K23" s="39">
        <v>5</v>
      </c>
      <c r="L23" s="39"/>
      <c r="M23" s="6" t="s">
        <v>19</v>
      </c>
      <c r="N23" s="49">
        <v>44293</v>
      </c>
      <c r="O23" s="50"/>
      <c r="P23" s="41">
        <f t="shared" si="0"/>
        <v>221465</v>
      </c>
      <c r="Q23" s="41"/>
      <c r="R23" s="41"/>
    </row>
    <row r="24" spans="1:18" ht="23.25" customHeight="1" x14ac:dyDescent="0.15">
      <c r="A24" s="36" t="s">
        <v>56</v>
      </c>
      <c r="B24" s="37"/>
      <c r="C24" s="37"/>
      <c r="D24" s="37"/>
      <c r="E24" s="37"/>
      <c r="F24" s="37"/>
      <c r="G24" s="37"/>
      <c r="H24" s="37"/>
      <c r="I24" s="37"/>
      <c r="J24" s="38"/>
      <c r="K24" s="51"/>
      <c r="L24" s="52"/>
      <c r="M24" s="7" t="s">
        <v>19</v>
      </c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36"/>
      <c r="B25" s="37"/>
      <c r="C25" s="37"/>
      <c r="D25" s="37"/>
      <c r="E25" s="37"/>
      <c r="F25" s="37"/>
      <c r="G25" s="37"/>
      <c r="H25" s="37"/>
      <c r="I25" s="37"/>
      <c r="J25" s="38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56" t="s">
        <v>50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 t="s">
        <v>51</v>
      </c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405665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40566.5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446231.5</v>
      </c>
      <c r="Q41" s="59"/>
      <c r="R41" s="59"/>
    </row>
    <row r="42" spans="1:18" ht="23.25" customHeight="1" x14ac:dyDescent="0.15">
      <c r="A42" s="16" t="s">
        <v>28</v>
      </c>
      <c r="B42" s="17"/>
      <c r="C42" s="60" t="s">
        <v>49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</row>
    <row r="43" spans="1:18" ht="23.25" customHeight="1" x14ac:dyDescent="0.15">
      <c r="A43" s="20"/>
      <c r="B43" s="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1">
    <mergeCell ref="A41:J41"/>
    <mergeCell ref="K41:L41"/>
    <mergeCell ref="N41:O41"/>
    <mergeCell ref="P41:R41"/>
    <mergeCell ref="C42:R43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2:J22"/>
    <mergeCell ref="K22:L22"/>
    <mergeCell ref="N22:O22"/>
    <mergeCell ref="P22:R22"/>
    <mergeCell ref="A18:R18"/>
    <mergeCell ref="A19:J19"/>
    <mergeCell ref="K19:L19"/>
    <mergeCell ref="N19:O19"/>
    <mergeCell ref="P19:R19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21:J21"/>
    <mergeCell ref="K21:L21"/>
    <mergeCell ref="N21:O21"/>
    <mergeCell ref="P21:R21"/>
  </mergeCells>
  <phoneticPr fontId="2"/>
  <pageMargins left="0.62992125984251968" right="0.51181102362204722" top="0.39370078740157483" bottom="0.31496062992125984" header="0.39370078740157483" footer="0.51181102362204722"/>
  <pageSetup paperSize="9" scale="9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15F9-EC6B-4F61-A57F-93C1C6D4D66B}">
  <dimension ref="A1:R50"/>
  <sheetViews>
    <sheetView view="pageBreakPreview" zoomScale="85" zoomScaleNormal="100" zoomScaleSheetLayoutView="85" workbookViewId="0">
      <selection activeCell="A20" sqref="A20:O24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f ca="1">TODAY()</f>
        <v>46070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229951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36" t="s">
        <v>52</v>
      </c>
      <c r="B20" s="37"/>
      <c r="C20" s="37"/>
      <c r="D20" s="37"/>
      <c r="E20" s="37"/>
      <c r="F20" s="37"/>
      <c r="G20" s="37"/>
      <c r="H20" s="37"/>
      <c r="I20" s="37"/>
      <c r="J20" s="38"/>
      <c r="K20" s="39">
        <v>3</v>
      </c>
      <c r="L20" s="39"/>
      <c r="M20" s="6" t="s">
        <v>19</v>
      </c>
      <c r="N20" s="49">
        <v>32842</v>
      </c>
      <c r="O20" s="50"/>
      <c r="P20" s="41">
        <f>IF(K20="","",N20*K20)</f>
        <v>98526</v>
      </c>
      <c r="Q20" s="41"/>
      <c r="R20" s="41"/>
    </row>
    <row r="21" spans="1:18" ht="23.25" customHeight="1" x14ac:dyDescent="0.15">
      <c r="A21" s="36" t="s">
        <v>53</v>
      </c>
      <c r="B21" s="37"/>
      <c r="C21" s="37"/>
      <c r="D21" s="37"/>
      <c r="E21" s="37"/>
      <c r="F21" s="37"/>
      <c r="G21" s="37"/>
      <c r="H21" s="37"/>
      <c r="I21" s="37"/>
      <c r="J21" s="38"/>
      <c r="K21" s="39"/>
      <c r="L21" s="39"/>
      <c r="M21" s="6" t="s">
        <v>19</v>
      </c>
      <c r="N21" s="40">
        <v>33922</v>
      </c>
      <c r="O21" s="40"/>
      <c r="P21" s="41" t="str">
        <f t="shared" ref="P21:P38" si="0">IF(K21="","",N21*K21)</f>
        <v/>
      </c>
      <c r="Q21" s="41"/>
      <c r="R21" s="41"/>
    </row>
    <row r="22" spans="1:18" ht="23.25" customHeight="1" x14ac:dyDescent="0.15">
      <c r="A22" s="36" t="s">
        <v>54</v>
      </c>
      <c r="B22" s="37"/>
      <c r="C22" s="37"/>
      <c r="D22" s="37"/>
      <c r="E22" s="37"/>
      <c r="F22" s="37"/>
      <c r="G22" s="37"/>
      <c r="H22" s="37"/>
      <c r="I22" s="37"/>
      <c r="J22" s="38"/>
      <c r="K22" s="39">
        <v>3</v>
      </c>
      <c r="L22" s="39"/>
      <c r="M22" s="6" t="s">
        <v>19</v>
      </c>
      <c r="N22" s="40">
        <v>36840</v>
      </c>
      <c r="O22" s="40"/>
      <c r="P22" s="41">
        <f t="shared" si="0"/>
        <v>110520</v>
      </c>
      <c r="Q22" s="41"/>
      <c r="R22" s="41"/>
    </row>
    <row r="23" spans="1:18" ht="23.25" customHeight="1" x14ac:dyDescent="0.15">
      <c r="A23" s="36" t="s">
        <v>55</v>
      </c>
      <c r="B23" s="37"/>
      <c r="C23" s="37"/>
      <c r="D23" s="37"/>
      <c r="E23" s="37"/>
      <c r="F23" s="37"/>
      <c r="G23" s="37"/>
      <c r="H23" s="37"/>
      <c r="I23" s="37"/>
      <c r="J23" s="38"/>
      <c r="K23" s="39"/>
      <c r="L23" s="39"/>
      <c r="M23" s="6" t="s">
        <v>19</v>
      </c>
      <c r="N23" s="49">
        <v>44293</v>
      </c>
      <c r="O23" s="50"/>
      <c r="P23" s="41" t="str">
        <f t="shared" si="0"/>
        <v/>
      </c>
      <c r="Q23" s="41"/>
      <c r="R23" s="41"/>
    </row>
    <row r="24" spans="1:18" ht="23.25" customHeight="1" x14ac:dyDescent="0.15">
      <c r="A24" s="36" t="s">
        <v>56</v>
      </c>
      <c r="B24" s="37"/>
      <c r="C24" s="37"/>
      <c r="D24" s="37"/>
      <c r="E24" s="37"/>
      <c r="F24" s="37"/>
      <c r="G24" s="37"/>
      <c r="H24" s="37"/>
      <c r="I24" s="37"/>
      <c r="J24" s="38"/>
      <c r="K24" s="51"/>
      <c r="L24" s="52"/>
      <c r="M24" s="7" t="s">
        <v>19</v>
      </c>
      <c r="N24" s="49">
        <v>97013</v>
      </c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42" t="s">
        <v>40</v>
      </c>
      <c r="B25" s="43"/>
      <c r="C25" s="43"/>
      <c r="D25" s="43"/>
      <c r="E25" s="43"/>
      <c r="F25" s="43"/>
      <c r="G25" s="43"/>
      <c r="H25" s="43"/>
      <c r="I25" s="43"/>
      <c r="J25" s="44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56" t="s">
        <v>57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 t="s">
        <v>58</v>
      </c>
      <c r="B29" s="43"/>
      <c r="C29" s="43"/>
      <c r="D29" s="43"/>
      <c r="E29" s="43"/>
      <c r="F29" s="43"/>
      <c r="G29" s="43"/>
      <c r="H29" s="43"/>
      <c r="I29" s="43"/>
      <c r="J29" s="4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 t="s">
        <v>59</v>
      </c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209046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ROUND(P39*0.1,0)</f>
        <v>20905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229951</v>
      </c>
      <c r="Q41" s="59"/>
      <c r="R41" s="59"/>
    </row>
    <row r="42" spans="1:18" ht="23.25" customHeight="1" x14ac:dyDescent="0.15">
      <c r="A42" s="16" t="s">
        <v>28</v>
      </c>
      <c r="B42" s="17"/>
      <c r="C42" s="60" t="s">
        <v>49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</row>
    <row r="43" spans="1:18" ht="23.25" customHeight="1" x14ac:dyDescent="0.15">
      <c r="A43" s="20"/>
      <c r="B43" s="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1">
    <mergeCell ref="A41:J41"/>
    <mergeCell ref="K41:L41"/>
    <mergeCell ref="N41:O41"/>
    <mergeCell ref="P41:R41"/>
    <mergeCell ref="C42:R43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2:J22"/>
    <mergeCell ref="K22:L22"/>
    <mergeCell ref="N22:O22"/>
    <mergeCell ref="P22:R22"/>
    <mergeCell ref="A18:R18"/>
    <mergeCell ref="A19:J19"/>
    <mergeCell ref="K19:L19"/>
    <mergeCell ref="N19:O19"/>
    <mergeCell ref="P19:R19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21:J21"/>
    <mergeCell ref="K21:L21"/>
    <mergeCell ref="N21:O21"/>
    <mergeCell ref="P21:R21"/>
  </mergeCells>
  <phoneticPr fontId="2"/>
  <pageMargins left="0.62992125984251968" right="0.51181102362204722" top="0.39370078740157483" bottom="0.31496062992125984" header="0.39370078740157483" footer="0.51181102362204722"/>
  <pageSetup paperSize="9" scale="9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F0DB-E68D-43D9-BC14-E7B865C9DA02}">
  <dimension ref="A1:R50"/>
  <sheetViews>
    <sheetView view="pageBreakPreview" zoomScaleNormal="100" zoomScaleSheetLayoutView="100" workbookViewId="0">
      <selection activeCell="I8" sqref="I8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f ca="1">TODAY()</f>
        <v>46070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860851.19999999995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36" t="s">
        <v>52</v>
      </c>
      <c r="B20" s="37"/>
      <c r="C20" s="37"/>
      <c r="D20" s="37"/>
      <c r="E20" s="37"/>
      <c r="F20" s="37"/>
      <c r="G20" s="37"/>
      <c r="H20" s="37"/>
      <c r="I20" s="37"/>
      <c r="J20" s="38"/>
      <c r="K20" s="39">
        <v>2</v>
      </c>
      <c r="L20" s="39"/>
      <c r="M20" s="6" t="s">
        <v>19</v>
      </c>
      <c r="N20" s="49">
        <v>32842</v>
      </c>
      <c r="O20" s="50"/>
      <c r="P20" s="41">
        <f>IF(K20="","",N20*K20)</f>
        <v>65684</v>
      </c>
      <c r="Q20" s="41"/>
      <c r="R20" s="41"/>
    </row>
    <row r="21" spans="1:18" ht="23.25" customHeight="1" x14ac:dyDescent="0.15">
      <c r="A21" s="36" t="s">
        <v>53</v>
      </c>
      <c r="B21" s="37"/>
      <c r="C21" s="37"/>
      <c r="D21" s="37"/>
      <c r="E21" s="37"/>
      <c r="F21" s="37"/>
      <c r="G21" s="37"/>
      <c r="H21" s="37"/>
      <c r="I21" s="37"/>
      <c r="J21" s="38"/>
      <c r="K21" s="39">
        <v>2</v>
      </c>
      <c r="L21" s="39"/>
      <c r="M21" s="6" t="s">
        <v>19</v>
      </c>
      <c r="N21" s="40">
        <v>33922</v>
      </c>
      <c r="O21" s="40"/>
      <c r="P21" s="41">
        <f t="shared" ref="P21:P38" si="0">IF(K21="","",N21*K21)</f>
        <v>67844</v>
      </c>
      <c r="Q21" s="41"/>
      <c r="R21" s="41"/>
    </row>
    <row r="22" spans="1:18" ht="23.25" customHeight="1" x14ac:dyDescent="0.15">
      <c r="A22" s="36" t="s">
        <v>54</v>
      </c>
      <c r="B22" s="37"/>
      <c r="C22" s="37"/>
      <c r="D22" s="37"/>
      <c r="E22" s="37"/>
      <c r="F22" s="37"/>
      <c r="G22" s="37"/>
      <c r="H22" s="37"/>
      <c r="I22" s="37"/>
      <c r="J22" s="38"/>
      <c r="K22" s="39">
        <v>8</v>
      </c>
      <c r="L22" s="39"/>
      <c r="M22" s="6" t="s">
        <v>19</v>
      </c>
      <c r="N22" s="40">
        <v>36840</v>
      </c>
      <c r="O22" s="40"/>
      <c r="P22" s="41">
        <f t="shared" si="0"/>
        <v>294720</v>
      </c>
      <c r="Q22" s="41"/>
      <c r="R22" s="41"/>
    </row>
    <row r="23" spans="1:18" ht="23.25" customHeight="1" x14ac:dyDescent="0.15">
      <c r="A23" s="36" t="s">
        <v>55</v>
      </c>
      <c r="B23" s="37"/>
      <c r="C23" s="37"/>
      <c r="D23" s="37"/>
      <c r="E23" s="37"/>
      <c r="F23" s="37"/>
      <c r="G23" s="37"/>
      <c r="H23" s="37"/>
      <c r="I23" s="37"/>
      <c r="J23" s="38"/>
      <c r="K23" s="39">
        <v>8</v>
      </c>
      <c r="L23" s="39"/>
      <c r="M23" s="6" t="s">
        <v>19</v>
      </c>
      <c r="N23" s="49">
        <v>44293</v>
      </c>
      <c r="O23" s="50"/>
      <c r="P23" s="41">
        <f t="shared" si="0"/>
        <v>354344</v>
      </c>
      <c r="Q23" s="41"/>
      <c r="R23" s="41"/>
    </row>
    <row r="24" spans="1:18" ht="23.25" customHeight="1" x14ac:dyDescent="0.15">
      <c r="A24" s="36" t="s">
        <v>56</v>
      </c>
      <c r="B24" s="37"/>
      <c r="C24" s="37"/>
      <c r="D24" s="37"/>
      <c r="E24" s="37"/>
      <c r="F24" s="37"/>
      <c r="G24" s="37"/>
      <c r="H24" s="37"/>
      <c r="I24" s="37"/>
      <c r="J24" s="38"/>
      <c r="K24" s="51"/>
      <c r="L24" s="52"/>
      <c r="M24" s="7" t="s">
        <v>19</v>
      </c>
      <c r="N24" s="49">
        <v>97013</v>
      </c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42"/>
      <c r="B25" s="43"/>
      <c r="C25" s="43"/>
      <c r="D25" s="43"/>
      <c r="E25" s="43"/>
      <c r="F25" s="43"/>
      <c r="G25" s="43"/>
      <c r="H25" s="43"/>
      <c r="I25" s="43"/>
      <c r="J25" s="44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56" t="s">
        <v>60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 t="s">
        <v>61</v>
      </c>
      <c r="B29" s="43"/>
      <c r="C29" s="43"/>
      <c r="D29" s="43"/>
      <c r="E29" s="43"/>
      <c r="F29" s="43"/>
      <c r="G29" s="43"/>
      <c r="H29" s="43"/>
      <c r="I29" s="43"/>
      <c r="J29" s="4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 t="s">
        <v>62</v>
      </c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782592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78259.199999999997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860851.19999999995</v>
      </c>
      <c r="Q41" s="59"/>
      <c r="R41" s="59"/>
    </row>
    <row r="42" spans="1:18" ht="23.25" customHeight="1" x14ac:dyDescent="0.15">
      <c r="A42" s="16" t="s">
        <v>28</v>
      </c>
      <c r="B42" s="17"/>
      <c r="C42" s="60" t="s">
        <v>49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</row>
    <row r="43" spans="1:18" ht="23.25" customHeight="1" x14ac:dyDescent="0.15">
      <c r="A43" s="20"/>
      <c r="B43" s="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1">
    <mergeCell ref="A2:R2"/>
    <mergeCell ref="A3:R3"/>
    <mergeCell ref="A4:R4"/>
    <mergeCell ref="A7:M7"/>
    <mergeCell ref="O8:R8"/>
    <mergeCell ref="A16:D17"/>
    <mergeCell ref="E16:H17"/>
    <mergeCell ref="A21:J21"/>
    <mergeCell ref="K21:L21"/>
    <mergeCell ref="N21:O21"/>
    <mergeCell ref="P21:R21"/>
    <mergeCell ref="A22:J22"/>
    <mergeCell ref="K22:L22"/>
    <mergeCell ref="N22:O22"/>
    <mergeCell ref="P22:R22"/>
    <mergeCell ref="A18:R18"/>
    <mergeCell ref="A19:J19"/>
    <mergeCell ref="K19:L19"/>
    <mergeCell ref="N19:O19"/>
    <mergeCell ref="P19:R19"/>
    <mergeCell ref="A20:J20"/>
    <mergeCell ref="K20:L20"/>
    <mergeCell ref="N20:O20"/>
    <mergeCell ref="P20:R20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41:J41"/>
    <mergeCell ref="K41:L41"/>
    <mergeCell ref="N41:O41"/>
    <mergeCell ref="P41:R41"/>
    <mergeCell ref="C42:R43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E9617-6E72-436D-AD64-B0F2A56C88BA}">
  <dimension ref="A1:R50"/>
  <sheetViews>
    <sheetView view="pageBreakPreview" zoomScaleNormal="100" zoomScaleSheetLayoutView="100" workbookViewId="0">
      <selection activeCell="K22" sqref="K22:L23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f ca="1">TODAY()</f>
        <v>46070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892463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36" t="s">
        <v>52</v>
      </c>
      <c r="B20" s="37"/>
      <c r="C20" s="37"/>
      <c r="D20" s="37"/>
      <c r="E20" s="37"/>
      <c r="F20" s="37"/>
      <c r="G20" s="37"/>
      <c r="H20" s="37"/>
      <c r="I20" s="37"/>
      <c r="J20" s="38"/>
      <c r="K20" s="39"/>
      <c r="L20" s="39"/>
      <c r="M20" s="6" t="s">
        <v>19</v>
      </c>
      <c r="N20" s="49">
        <v>32842</v>
      </c>
      <c r="O20" s="50"/>
      <c r="P20" s="41" t="str">
        <f>IF(K20="","",N20*K20)</f>
        <v/>
      </c>
      <c r="Q20" s="41"/>
      <c r="R20" s="41"/>
    </row>
    <row r="21" spans="1:18" ht="23.25" customHeight="1" x14ac:dyDescent="0.15">
      <c r="A21" s="36" t="s">
        <v>53</v>
      </c>
      <c r="B21" s="37"/>
      <c r="C21" s="37"/>
      <c r="D21" s="37"/>
      <c r="E21" s="37"/>
      <c r="F21" s="37"/>
      <c r="G21" s="37"/>
      <c r="H21" s="37"/>
      <c r="I21" s="37"/>
      <c r="J21" s="38"/>
      <c r="K21" s="39"/>
      <c r="L21" s="39"/>
      <c r="M21" s="6" t="s">
        <v>19</v>
      </c>
      <c r="N21" s="40">
        <v>33922</v>
      </c>
      <c r="O21" s="40"/>
      <c r="P21" s="41" t="str">
        <f t="shared" ref="P21:P38" si="0">IF(K21="","",N21*K21)</f>
        <v/>
      </c>
      <c r="Q21" s="41"/>
      <c r="R21" s="41"/>
    </row>
    <row r="22" spans="1:18" ht="23.25" customHeight="1" x14ac:dyDescent="0.15">
      <c r="A22" s="36" t="s">
        <v>54</v>
      </c>
      <c r="B22" s="37"/>
      <c r="C22" s="37"/>
      <c r="D22" s="37"/>
      <c r="E22" s="37"/>
      <c r="F22" s="37"/>
      <c r="G22" s="37"/>
      <c r="H22" s="37"/>
      <c r="I22" s="37"/>
      <c r="J22" s="38"/>
      <c r="K22" s="39">
        <v>10</v>
      </c>
      <c r="L22" s="39"/>
      <c r="M22" s="6" t="s">
        <v>19</v>
      </c>
      <c r="N22" s="40">
        <v>36840</v>
      </c>
      <c r="O22" s="40"/>
      <c r="P22" s="41">
        <f t="shared" si="0"/>
        <v>368400</v>
      </c>
      <c r="Q22" s="41"/>
      <c r="R22" s="41"/>
    </row>
    <row r="23" spans="1:18" ht="23.25" customHeight="1" x14ac:dyDescent="0.15">
      <c r="A23" s="36" t="s">
        <v>55</v>
      </c>
      <c r="B23" s="37"/>
      <c r="C23" s="37"/>
      <c r="D23" s="37"/>
      <c r="E23" s="37"/>
      <c r="F23" s="37"/>
      <c r="G23" s="37"/>
      <c r="H23" s="37"/>
      <c r="I23" s="37"/>
      <c r="J23" s="38"/>
      <c r="K23" s="39">
        <v>10</v>
      </c>
      <c r="L23" s="39"/>
      <c r="M23" s="6" t="s">
        <v>19</v>
      </c>
      <c r="N23" s="49">
        <v>44293</v>
      </c>
      <c r="O23" s="50"/>
      <c r="P23" s="41">
        <f t="shared" si="0"/>
        <v>442930</v>
      </c>
      <c r="Q23" s="41"/>
      <c r="R23" s="41"/>
    </row>
    <row r="24" spans="1:18" ht="23.25" customHeight="1" x14ac:dyDescent="0.15">
      <c r="A24" s="36" t="s">
        <v>56</v>
      </c>
      <c r="B24" s="37"/>
      <c r="C24" s="37"/>
      <c r="D24" s="37"/>
      <c r="E24" s="37"/>
      <c r="F24" s="37"/>
      <c r="G24" s="37"/>
      <c r="H24" s="37"/>
      <c r="I24" s="37"/>
      <c r="J24" s="38"/>
      <c r="K24" s="51"/>
      <c r="L24" s="52"/>
      <c r="M24" s="7" t="s">
        <v>19</v>
      </c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36"/>
      <c r="B25" s="37"/>
      <c r="C25" s="37"/>
      <c r="D25" s="37"/>
      <c r="E25" s="37"/>
      <c r="F25" s="37"/>
      <c r="G25" s="37"/>
      <c r="H25" s="37"/>
      <c r="I25" s="37"/>
      <c r="J25" s="38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 t="s">
        <v>63</v>
      </c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 t="s">
        <v>64</v>
      </c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56" t="s">
        <v>65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 t="s">
        <v>66</v>
      </c>
      <c r="B29" s="43"/>
      <c r="C29" s="43"/>
      <c r="D29" s="43"/>
      <c r="E29" s="43"/>
      <c r="F29" s="43"/>
      <c r="G29" s="43"/>
      <c r="H29" s="43"/>
      <c r="I29" s="43"/>
      <c r="J29" s="4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 t="s">
        <v>67</v>
      </c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811330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81133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892463</v>
      </c>
      <c r="Q41" s="59"/>
      <c r="R41" s="59"/>
    </row>
    <row r="42" spans="1:18" ht="23.25" customHeight="1" x14ac:dyDescent="0.15">
      <c r="A42" s="16" t="s">
        <v>28</v>
      </c>
      <c r="B42" s="17"/>
      <c r="C42" s="60" t="s">
        <v>49</v>
      </c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</row>
    <row r="43" spans="1:18" ht="23.25" customHeight="1" x14ac:dyDescent="0.15">
      <c r="A43" s="20"/>
      <c r="B43" s="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1">
    <mergeCell ref="A2:R2"/>
    <mergeCell ref="A3:R3"/>
    <mergeCell ref="A4:R4"/>
    <mergeCell ref="A7:M7"/>
    <mergeCell ref="O8:R8"/>
    <mergeCell ref="A16:D17"/>
    <mergeCell ref="E16:H17"/>
    <mergeCell ref="A21:J21"/>
    <mergeCell ref="K21:L21"/>
    <mergeCell ref="N21:O21"/>
    <mergeCell ref="P21:R21"/>
    <mergeCell ref="A22:J22"/>
    <mergeCell ref="K22:L22"/>
    <mergeCell ref="N22:O22"/>
    <mergeCell ref="P22:R22"/>
    <mergeCell ref="A18:R18"/>
    <mergeCell ref="A19:J19"/>
    <mergeCell ref="K19:L19"/>
    <mergeCell ref="N19:O19"/>
    <mergeCell ref="P19:R19"/>
    <mergeCell ref="A20:J20"/>
    <mergeCell ref="K20:L20"/>
    <mergeCell ref="N20:O20"/>
    <mergeCell ref="P20:R20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41:J41"/>
    <mergeCell ref="K41:L41"/>
    <mergeCell ref="N41:O41"/>
    <mergeCell ref="P41:R41"/>
    <mergeCell ref="C42:R43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6A40-E8C3-42A8-93F6-D0BDD9B3212B}">
  <dimension ref="A1:R50"/>
  <sheetViews>
    <sheetView topLeftCell="A11" zoomScaleNormal="100" workbookViewId="0">
      <selection activeCell="A31" sqref="A31:J31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>
        <v>103627</v>
      </c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45729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68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2</v>
      </c>
      <c r="L20" s="39"/>
      <c r="M20" s="6" t="s">
        <v>69</v>
      </c>
      <c r="N20" s="49"/>
      <c r="O20" s="50"/>
      <c r="P20" s="41">
        <f>IF(K20="","",K20*N20)</f>
        <v>0</v>
      </c>
      <c r="Q20" s="41"/>
      <c r="R20" s="41"/>
    </row>
    <row r="21" spans="1:18" ht="23.25" customHeight="1" x14ac:dyDescent="0.15">
      <c r="A21" s="42" t="s">
        <v>70</v>
      </c>
      <c r="B21" s="43"/>
      <c r="C21" s="43"/>
      <c r="D21" s="43"/>
      <c r="E21" s="43"/>
      <c r="F21" s="43"/>
      <c r="G21" s="43"/>
      <c r="H21" s="43"/>
      <c r="I21" s="43"/>
      <c r="J21" s="44"/>
      <c r="K21" s="39">
        <v>2</v>
      </c>
      <c r="L21" s="39"/>
      <c r="M21" s="6" t="s">
        <v>69</v>
      </c>
      <c r="N21" s="40"/>
      <c r="O21" s="40"/>
      <c r="P21" s="41">
        <f t="shared" ref="P21:P38" si="0">IF(K21="","",K21*N21)</f>
        <v>0</v>
      </c>
      <c r="Q21" s="41"/>
      <c r="R21" s="41"/>
    </row>
    <row r="22" spans="1:18" ht="23.25" customHeight="1" x14ac:dyDescent="0.15">
      <c r="A22" s="42" t="s">
        <v>71</v>
      </c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 t="str">
        <f t="shared" si="0"/>
        <v/>
      </c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 t="str">
        <f t="shared" si="0"/>
        <v/>
      </c>
      <c r="Q23" s="41"/>
      <c r="R23" s="41"/>
    </row>
    <row r="24" spans="1:18" ht="23.25" customHeight="1" x14ac:dyDescent="0.15">
      <c r="A24" s="42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69"/>
      <c r="B25" s="70"/>
      <c r="C25" s="70"/>
      <c r="D25" s="70"/>
      <c r="E25" s="70"/>
      <c r="F25" s="70"/>
      <c r="G25" s="70"/>
      <c r="H25" s="70"/>
      <c r="I25" s="70"/>
      <c r="J25" s="71"/>
      <c r="K25" s="66"/>
      <c r="L25" s="67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66"/>
      <c r="L26" s="67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 t="s">
        <v>72</v>
      </c>
      <c r="B27" s="43"/>
      <c r="C27" s="43"/>
      <c r="D27" s="43"/>
      <c r="E27" s="43"/>
      <c r="F27" s="43"/>
      <c r="G27" s="43"/>
      <c r="H27" s="43"/>
      <c r="I27" s="43"/>
      <c r="J27" s="44"/>
      <c r="K27" s="66"/>
      <c r="L27" s="67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42" t="s">
        <v>73</v>
      </c>
      <c r="B28" s="43"/>
      <c r="C28" s="43"/>
      <c r="D28" s="43"/>
      <c r="E28" s="43"/>
      <c r="F28" s="43"/>
      <c r="G28" s="43"/>
      <c r="H28" s="43"/>
      <c r="I28" s="43"/>
      <c r="J28" s="44"/>
      <c r="K28" s="66"/>
      <c r="L28" s="67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 t="s">
        <v>44</v>
      </c>
      <c r="B29" s="43"/>
      <c r="C29" s="43"/>
      <c r="D29" s="43"/>
      <c r="E29" s="43"/>
      <c r="F29" s="43"/>
      <c r="G29" s="43"/>
      <c r="H29" s="43"/>
      <c r="I29" s="43"/>
      <c r="J29" s="44"/>
      <c r="K29" s="65"/>
      <c r="L29" s="65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75" t="s">
        <v>74</v>
      </c>
      <c r="B30" s="43"/>
      <c r="C30" s="43"/>
      <c r="D30" s="43"/>
      <c r="E30" s="43"/>
      <c r="F30" s="43"/>
      <c r="G30" s="43"/>
      <c r="H30" s="43"/>
      <c r="I30" s="43"/>
      <c r="J30" s="44"/>
      <c r="K30" s="65"/>
      <c r="L30" s="65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53" t="s">
        <v>45</v>
      </c>
      <c r="B31" s="54"/>
      <c r="C31" s="54"/>
      <c r="D31" s="54"/>
      <c r="E31" s="54"/>
      <c r="F31" s="54"/>
      <c r="G31" s="54"/>
      <c r="H31" s="54"/>
      <c r="I31" s="54"/>
      <c r="J31" s="55"/>
      <c r="K31" s="65"/>
      <c r="L31" s="65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 t="s">
        <v>75</v>
      </c>
      <c r="B32" s="43"/>
      <c r="C32" s="43"/>
      <c r="D32" s="43"/>
      <c r="E32" s="43"/>
      <c r="F32" s="43"/>
      <c r="G32" s="43"/>
      <c r="H32" s="43"/>
      <c r="I32" s="43"/>
      <c r="J32" s="44"/>
      <c r="K32" s="65"/>
      <c r="L32" s="65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78" t="s">
        <v>76</v>
      </c>
      <c r="B33" s="79"/>
      <c r="C33" s="79"/>
      <c r="D33" s="79"/>
      <c r="E33" s="79"/>
      <c r="F33" s="79"/>
      <c r="G33" s="79"/>
      <c r="H33" s="79"/>
      <c r="I33" s="79"/>
      <c r="J33" s="80"/>
      <c r="K33" s="65"/>
      <c r="L33" s="65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81"/>
      <c r="B34" s="82"/>
      <c r="C34" s="82"/>
      <c r="D34" s="82"/>
      <c r="E34" s="82"/>
      <c r="F34" s="82"/>
      <c r="G34" s="82"/>
      <c r="H34" s="82"/>
      <c r="I34" s="82"/>
      <c r="J34" s="83"/>
      <c r="K34" s="65"/>
      <c r="L34" s="65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84"/>
      <c r="B35" s="85"/>
      <c r="C35" s="85"/>
      <c r="D35" s="85"/>
      <c r="E35" s="85"/>
      <c r="F35" s="85"/>
      <c r="G35" s="85"/>
      <c r="H35" s="85"/>
      <c r="I35" s="85"/>
      <c r="J35" s="86"/>
      <c r="K35" s="65"/>
      <c r="L35" s="65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65"/>
      <c r="L36" s="65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65"/>
      <c r="L37" s="65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65"/>
      <c r="L38" s="65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ROUND(P39*0.1,0)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SUM(P39:R40)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98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P35:R35"/>
    <mergeCell ref="A31:J31"/>
    <mergeCell ref="K31:L31"/>
    <mergeCell ref="N31:O31"/>
    <mergeCell ref="P31:R31"/>
    <mergeCell ref="K32:L32"/>
    <mergeCell ref="N32:O32"/>
    <mergeCell ref="P32:R32"/>
    <mergeCell ref="K33:L33"/>
    <mergeCell ref="N33:O33"/>
    <mergeCell ref="P33:R33"/>
    <mergeCell ref="K34:L34"/>
    <mergeCell ref="N34:O34"/>
    <mergeCell ref="P34:R34"/>
    <mergeCell ref="A32:J32"/>
    <mergeCell ref="K35:L35"/>
    <mergeCell ref="P36:R36"/>
    <mergeCell ref="A37:J37"/>
    <mergeCell ref="K37:L37"/>
    <mergeCell ref="N37:O37"/>
    <mergeCell ref="P37:R37"/>
    <mergeCell ref="A36:J36"/>
    <mergeCell ref="K36:L36"/>
    <mergeCell ref="N36:O36"/>
    <mergeCell ref="P38:R38"/>
    <mergeCell ref="A39:J39"/>
    <mergeCell ref="K39:L39"/>
    <mergeCell ref="N39:O39"/>
    <mergeCell ref="P39:R39"/>
    <mergeCell ref="P40:R40"/>
    <mergeCell ref="A41:J41"/>
    <mergeCell ref="K41:L41"/>
    <mergeCell ref="N41:O41"/>
    <mergeCell ref="P41:R41"/>
    <mergeCell ref="N35:O35"/>
    <mergeCell ref="A33:J35"/>
    <mergeCell ref="A40:J40"/>
    <mergeCell ref="K40:L40"/>
    <mergeCell ref="N40:O40"/>
    <mergeCell ref="A38:J38"/>
    <mergeCell ref="K38:L38"/>
    <mergeCell ref="N38:O38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AAD9F-DBA4-4538-890C-7EFE568BA3BE}">
  <dimension ref="A1:R50"/>
  <sheetViews>
    <sheetView view="pageBreakPreview" zoomScale="85" zoomScaleNormal="100" zoomScaleSheetLayoutView="85" workbookViewId="0">
      <selection activeCell="P22" sqref="P22:R22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>
        <v>112190</v>
      </c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f ca="1">TODAY()</f>
        <v>46070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156860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77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78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19</v>
      </c>
      <c r="N20" s="49">
        <v>142600</v>
      </c>
      <c r="O20" s="50"/>
      <c r="P20" s="41">
        <f>IF(K20="","",N20*K20)</f>
        <v>142600</v>
      </c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 t="str">
        <f t="shared" ref="P21:P38" si="0">IF(K21="","",N21*K21)</f>
        <v/>
      </c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 t="str">
        <f t="shared" si="0"/>
        <v/>
      </c>
      <c r="Q22" s="41"/>
      <c r="R22" s="41"/>
    </row>
    <row r="23" spans="1:18" ht="23.25" customHeight="1" x14ac:dyDescent="0.15">
      <c r="A23" s="42" t="s">
        <v>79</v>
      </c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 t="str">
        <f t="shared" si="0"/>
        <v/>
      </c>
      <c r="Q23" s="41"/>
      <c r="R23" s="41"/>
    </row>
    <row r="24" spans="1:18" ht="23.25" customHeight="1" x14ac:dyDescent="0.15">
      <c r="A24" s="42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42"/>
      <c r="B25" s="43"/>
      <c r="C25" s="43"/>
      <c r="D25" s="43"/>
      <c r="E25" s="43"/>
      <c r="F25" s="43"/>
      <c r="G25" s="43"/>
      <c r="H25" s="43"/>
      <c r="I25" s="43"/>
      <c r="J25" s="44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56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142600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14260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156860</v>
      </c>
      <c r="Q41" s="59"/>
      <c r="R41" s="59"/>
    </row>
    <row r="42" spans="1:18" ht="23.25" customHeight="1" x14ac:dyDescent="0.15">
      <c r="A42" s="16" t="s">
        <v>28</v>
      </c>
      <c r="B42" s="17"/>
      <c r="C42" s="87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1"/>
    </row>
    <row r="43" spans="1:18" ht="23.25" customHeight="1" x14ac:dyDescent="0.15">
      <c r="A43" s="20"/>
      <c r="B43" s="1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3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1">
    <mergeCell ref="A41:J41"/>
    <mergeCell ref="K41:L41"/>
    <mergeCell ref="N41:O41"/>
    <mergeCell ref="P41:R41"/>
    <mergeCell ref="C42:R43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2:J22"/>
    <mergeCell ref="K22:L22"/>
    <mergeCell ref="N22:O22"/>
    <mergeCell ref="P22:R22"/>
    <mergeCell ref="A18:R18"/>
    <mergeCell ref="A19:J19"/>
    <mergeCell ref="K19:L19"/>
    <mergeCell ref="N19:O19"/>
    <mergeCell ref="P19:R19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21:J21"/>
    <mergeCell ref="K21:L21"/>
    <mergeCell ref="N21:O21"/>
    <mergeCell ref="P21:R21"/>
  </mergeCells>
  <phoneticPr fontId="2"/>
  <pageMargins left="0.62992125984251968" right="0.51181102362204722" top="0.39370078740157483" bottom="0.31496062992125984" header="0.39370078740157483" footer="0.51181102362204722"/>
  <pageSetup paperSize="9" scale="96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730C-C732-436C-B172-62BC3E7BC7D9}">
  <dimension ref="A1:R50"/>
  <sheetViews>
    <sheetView topLeftCell="A24" zoomScaleNormal="100" workbookViewId="0">
      <selection activeCell="AD43" sqref="AD43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45575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6600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80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19</v>
      </c>
      <c r="N20" s="49">
        <v>6000</v>
      </c>
      <c r="O20" s="50"/>
      <c r="P20" s="41">
        <f>IF(K20="","",K20*N20)</f>
        <v>6000</v>
      </c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 t="str">
        <f t="shared" ref="P21:P38" si="0">IF(K21="","",K21*N21)</f>
        <v/>
      </c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 t="str">
        <f t="shared" si="0"/>
        <v/>
      </c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 t="str">
        <f t="shared" si="0"/>
        <v/>
      </c>
      <c r="Q23" s="41"/>
      <c r="R23" s="41"/>
    </row>
    <row r="24" spans="1:18" ht="23.25" customHeight="1" x14ac:dyDescent="0.15">
      <c r="A24" s="42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69"/>
      <c r="B25" s="70"/>
      <c r="C25" s="70"/>
      <c r="D25" s="70"/>
      <c r="E25" s="70"/>
      <c r="F25" s="70"/>
      <c r="G25" s="70"/>
      <c r="H25" s="70"/>
      <c r="I25" s="70"/>
      <c r="J25" s="71"/>
      <c r="K25" s="66"/>
      <c r="L25" s="67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66"/>
      <c r="L26" s="67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66"/>
      <c r="L27" s="67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42" t="s">
        <v>58</v>
      </c>
      <c r="B28" s="43"/>
      <c r="C28" s="43"/>
      <c r="D28" s="43"/>
      <c r="E28" s="43"/>
      <c r="F28" s="43"/>
      <c r="G28" s="43"/>
      <c r="H28" s="43"/>
      <c r="I28" s="43"/>
      <c r="J28" s="44"/>
      <c r="K28" s="66"/>
      <c r="L28" s="67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 t="s">
        <v>81</v>
      </c>
      <c r="B29" s="43"/>
      <c r="C29" s="43"/>
      <c r="D29" s="43"/>
      <c r="E29" s="43"/>
      <c r="F29" s="43"/>
      <c r="G29" s="43"/>
      <c r="H29" s="43"/>
      <c r="I29" s="43"/>
      <c r="J29" s="44"/>
      <c r="K29" s="65"/>
      <c r="L29" s="65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88"/>
      <c r="B30" s="89"/>
      <c r="C30" s="89"/>
      <c r="D30" s="89"/>
      <c r="E30" s="89"/>
      <c r="F30" s="89"/>
      <c r="G30" s="89"/>
      <c r="H30" s="89"/>
      <c r="I30" s="89"/>
      <c r="J30" s="90"/>
      <c r="K30" s="65"/>
      <c r="L30" s="65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91"/>
      <c r="B31" s="92"/>
      <c r="C31" s="92"/>
      <c r="D31" s="92"/>
      <c r="E31" s="92"/>
      <c r="F31" s="92"/>
      <c r="G31" s="92"/>
      <c r="H31" s="92"/>
      <c r="I31" s="92"/>
      <c r="J31" s="93"/>
      <c r="K31" s="65"/>
      <c r="L31" s="65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94"/>
      <c r="B32" s="95"/>
      <c r="C32" s="95"/>
      <c r="D32" s="95"/>
      <c r="E32" s="95"/>
      <c r="F32" s="95"/>
      <c r="G32" s="95"/>
      <c r="H32" s="95"/>
      <c r="I32" s="95"/>
      <c r="J32" s="96"/>
      <c r="K32" s="65"/>
      <c r="L32" s="65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53"/>
      <c r="B33" s="54"/>
      <c r="C33" s="54"/>
      <c r="D33" s="54"/>
      <c r="E33" s="54"/>
      <c r="F33" s="54"/>
      <c r="G33" s="54"/>
      <c r="H33" s="54"/>
      <c r="I33" s="54"/>
      <c r="J33" s="55"/>
      <c r="K33" s="65"/>
      <c r="L33" s="65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65"/>
      <c r="L34" s="65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65"/>
      <c r="L35" s="65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65"/>
      <c r="L36" s="65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65"/>
      <c r="L37" s="65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65"/>
      <c r="L38" s="65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6000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ROUND(P39*0.1,0)</f>
        <v>600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SUM(P39:R40)</f>
        <v>6600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98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K30:L30"/>
    <mergeCell ref="N30:O30"/>
    <mergeCell ref="P30:R30"/>
    <mergeCell ref="A30:J32"/>
    <mergeCell ref="K31:L31"/>
    <mergeCell ref="N31:O31"/>
    <mergeCell ref="P31:R31"/>
    <mergeCell ref="K32:L32"/>
    <mergeCell ref="N32:O32"/>
    <mergeCell ref="P32:R32"/>
    <mergeCell ref="K33:L33"/>
    <mergeCell ref="N33:O33"/>
    <mergeCell ref="P33:R33"/>
    <mergeCell ref="A33:J33"/>
    <mergeCell ref="K34:L34"/>
    <mergeCell ref="N34:O34"/>
    <mergeCell ref="P34:R34"/>
    <mergeCell ref="A34:J34"/>
    <mergeCell ref="A36:J36"/>
    <mergeCell ref="K36:L36"/>
    <mergeCell ref="N36:O36"/>
    <mergeCell ref="P36:R36"/>
    <mergeCell ref="A35:J35"/>
    <mergeCell ref="K35:L35"/>
    <mergeCell ref="N35:O35"/>
    <mergeCell ref="P35:R35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7AA3-950C-4B87-84E0-56661E6339FE}">
  <dimension ref="A1:R50"/>
  <sheetViews>
    <sheetView zoomScaleNormal="100" workbookViewId="0">
      <selection activeCell="A22" sqref="A22:J22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45580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/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82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19</v>
      </c>
      <c r="N20" s="49"/>
      <c r="O20" s="50"/>
      <c r="P20" s="41">
        <f>IF(K20="","",K20*N20)</f>
        <v>0</v>
      </c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 t="str">
        <f t="shared" ref="P21:P38" si="0">IF(K21="","",K21*N21)</f>
        <v/>
      </c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 t="str">
        <f t="shared" si="0"/>
        <v/>
      </c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 t="str">
        <f t="shared" si="0"/>
        <v/>
      </c>
      <c r="Q23" s="41"/>
      <c r="R23" s="41"/>
    </row>
    <row r="24" spans="1:18" ht="23.25" customHeight="1" x14ac:dyDescent="0.15">
      <c r="A24" s="42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69"/>
      <c r="B25" s="70"/>
      <c r="C25" s="70"/>
      <c r="D25" s="70"/>
      <c r="E25" s="70"/>
      <c r="F25" s="70"/>
      <c r="G25" s="70"/>
      <c r="H25" s="70"/>
      <c r="I25" s="70"/>
      <c r="J25" s="71"/>
      <c r="K25" s="66"/>
      <c r="L25" s="67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66"/>
      <c r="L26" s="67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66"/>
      <c r="L27" s="67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42" t="s">
        <v>58</v>
      </c>
      <c r="B28" s="43"/>
      <c r="C28" s="43"/>
      <c r="D28" s="43"/>
      <c r="E28" s="43"/>
      <c r="F28" s="43"/>
      <c r="G28" s="43"/>
      <c r="H28" s="43"/>
      <c r="I28" s="43"/>
      <c r="J28" s="44"/>
      <c r="K28" s="66"/>
      <c r="L28" s="67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 t="s">
        <v>81</v>
      </c>
      <c r="B29" s="43"/>
      <c r="C29" s="43"/>
      <c r="D29" s="43"/>
      <c r="E29" s="43"/>
      <c r="F29" s="43"/>
      <c r="G29" s="43"/>
      <c r="H29" s="43"/>
      <c r="I29" s="43"/>
      <c r="J29" s="44"/>
      <c r="K29" s="65"/>
      <c r="L29" s="65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88"/>
      <c r="B30" s="89"/>
      <c r="C30" s="89"/>
      <c r="D30" s="89"/>
      <c r="E30" s="89"/>
      <c r="F30" s="89"/>
      <c r="G30" s="89"/>
      <c r="H30" s="89"/>
      <c r="I30" s="89"/>
      <c r="J30" s="90"/>
      <c r="K30" s="65"/>
      <c r="L30" s="65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91"/>
      <c r="B31" s="92"/>
      <c r="C31" s="92"/>
      <c r="D31" s="92"/>
      <c r="E31" s="92"/>
      <c r="F31" s="92"/>
      <c r="G31" s="92"/>
      <c r="H31" s="92"/>
      <c r="I31" s="92"/>
      <c r="J31" s="93"/>
      <c r="K31" s="65"/>
      <c r="L31" s="65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94"/>
      <c r="B32" s="95"/>
      <c r="C32" s="95"/>
      <c r="D32" s="95"/>
      <c r="E32" s="95"/>
      <c r="F32" s="95"/>
      <c r="G32" s="95"/>
      <c r="H32" s="95"/>
      <c r="I32" s="95"/>
      <c r="J32" s="96"/>
      <c r="K32" s="65"/>
      <c r="L32" s="65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53"/>
      <c r="B33" s="54"/>
      <c r="C33" s="54"/>
      <c r="D33" s="54"/>
      <c r="E33" s="54"/>
      <c r="F33" s="54"/>
      <c r="G33" s="54"/>
      <c r="H33" s="54"/>
      <c r="I33" s="54"/>
      <c r="J33" s="55"/>
      <c r="K33" s="65"/>
      <c r="L33" s="65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65"/>
      <c r="L34" s="65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65"/>
      <c r="L35" s="65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65"/>
      <c r="L36" s="65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65"/>
      <c r="L37" s="65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65"/>
      <c r="L38" s="65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ROUND(P39*0.1,0)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SUM(P39:R40)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98"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29:J29"/>
    <mergeCell ref="K29:L29"/>
    <mergeCell ref="N29:O29"/>
    <mergeCell ref="P29:R29"/>
    <mergeCell ref="A30:J32"/>
    <mergeCell ref="K30:L30"/>
    <mergeCell ref="N30:O30"/>
    <mergeCell ref="P30:R30"/>
    <mergeCell ref="K31:L31"/>
    <mergeCell ref="N31:O31"/>
    <mergeCell ref="P31:R31"/>
    <mergeCell ref="K32:L32"/>
    <mergeCell ref="N32:O32"/>
    <mergeCell ref="P32:R32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1:J21"/>
    <mergeCell ref="K21:L21"/>
    <mergeCell ref="N21:O21"/>
    <mergeCell ref="P21:R21"/>
    <mergeCell ref="A22:J22"/>
    <mergeCell ref="K22:L22"/>
    <mergeCell ref="N22:O22"/>
    <mergeCell ref="P22:R22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E039-D02D-44A0-B833-DE3959FDFAA3}">
  <dimension ref="A1:R50"/>
  <sheetViews>
    <sheetView zoomScaleNormal="100" workbookViewId="0">
      <selection activeCell="A30" sqref="A30:J32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45832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/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83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5</v>
      </c>
      <c r="L20" s="39"/>
      <c r="M20" s="6" t="s">
        <v>19</v>
      </c>
      <c r="N20" s="49"/>
      <c r="O20" s="50"/>
      <c r="P20" s="41">
        <f>IF(K20="","",K20*N20)</f>
        <v>0</v>
      </c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 t="str">
        <f t="shared" ref="P21:P38" si="0">IF(K21="","",K21*N21)</f>
        <v/>
      </c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 t="str">
        <f t="shared" si="0"/>
        <v/>
      </c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 t="str">
        <f t="shared" si="0"/>
        <v/>
      </c>
      <c r="Q23" s="41"/>
      <c r="R23" s="41"/>
    </row>
    <row r="24" spans="1:18" ht="23.25" customHeight="1" x14ac:dyDescent="0.15">
      <c r="A24" s="42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69"/>
      <c r="B25" s="70"/>
      <c r="C25" s="70"/>
      <c r="D25" s="70"/>
      <c r="E25" s="70"/>
      <c r="F25" s="70"/>
      <c r="G25" s="70"/>
      <c r="H25" s="70"/>
      <c r="I25" s="70"/>
      <c r="J25" s="71"/>
      <c r="K25" s="66"/>
      <c r="L25" s="67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66"/>
      <c r="L26" s="67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66"/>
      <c r="L27" s="67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42" t="s">
        <v>58</v>
      </c>
      <c r="B28" s="43"/>
      <c r="C28" s="43"/>
      <c r="D28" s="43"/>
      <c r="E28" s="43"/>
      <c r="F28" s="43"/>
      <c r="G28" s="43"/>
      <c r="H28" s="43"/>
      <c r="I28" s="43"/>
      <c r="J28" s="44"/>
      <c r="K28" s="66"/>
      <c r="L28" s="67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 t="s">
        <v>84</v>
      </c>
      <c r="B29" s="43"/>
      <c r="C29" s="43"/>
      <c r="D29" s="43"/>
      <c r="E29" s="43"/>
      <c r="F29" s="43"/>
      <c r="G29" s="43"/>
      <c r="H29" s="43"/>
      <c r="I29" s="43"/>
      <c r="J29" s="44"/>
      <c r="K29" s="65"/>
      <c r="L29" s="65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88"/>
      <c r="B30" s="89"/>
      <c r="C30" s="89"/>
      <c r="D30" s="89"/>
      <c r="E30" s="89"/>
      <c r="F30" s="89"/>
      <c r="G30" s="89"/>
      <c r="H30" s="89"/>
      <c r="I30" s="89"/>
      <c r="J30" s="90"/>
      <c r="K30" s="65"/>
      <c r="L30" s="65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91"/>
      <c r="B31" s="92"/>
      <c r="C31" s="92"/>
      <c r="D31" s="92"/>
      <c r="E31" s="92"/>
      <c r="F31" s="92"/>
      <c r="G31" s="92"/>
      <c r="H31" s="92"/>
      <c r="I31" s="92"/>
      <c r="J31" s="93"/>
      <c r="K31" s="65"/>
      <c r="L31" s="65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94"/>
      <c r="B32" s="95"/>
      <c r="C32" s="95"/>
      <c r="D32" s="95"/>
      <c r="E32" s="95"/>
      <c r="F32" s="95"/>
      <c r="G32" s="95"/>
      <c r="H32" s="95"/>
      <c r="I32" s="95"/>
      <c r="J32" s="96"/>
      <c r="K32" s="65"/>
      <c r="L32" s="65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53"/>
      <c r="B33" s="54"/>
      <c r="C33" s="54"/>
      <c r="D33" s="54"/>
      <c r="E33" s="54"/>
      <c r="F33" s="54"/>
      <c r="G33" s="54"/>
      <c r="H33" s="54"/>
      <c r="I33" s="54"/>
      <c r="J33" s="55"/>
      <c r="K33" s="65"/>
      <c r="L33" s="65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65"/>
      <c r="L34" s="65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65"/>
      <c r="L35" s="65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65"/>
      <c r="L36" s="65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65"/>
      <c r="L37" s="65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65"/>
      <c r="L38" s="65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ROUND(P39*0.1,0)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SUM(P39:R40)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98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2"/>
    <mergeCell ref="K30:L30"/>
    <mergeCell ref="N30:O30"/>
    <mergeCell ref="P30:R30"/>
    <mergeCell ref="K31:L31"/>
    <mergeCell ref="N31:O31"/>
    <mergeCell ref="P31:R31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A0F10-22C2-487B-9869-0FADEC587ABF}">
  <dimension ref="A1:R50"/>
  <sheetViews>
    <sheetView zoomScaleNormal="100" workbookViewId="0">
      <selection activeCell="A21" sqref="A21:J21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>
        <v>96248</v>
      </c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45363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85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86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87</v>
      </c>
      <c r="N20" s="49"/>
      <c r="O20" s="50"/>
      <c r="P20" s="41"/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/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69" t="s">
        <v>88</v>
      </c>
      <c r="B25" s="70"/>
      <c r="C25" s="70"/>
      <c r="D25" s="70"/>
      <c r="E25" s="70"/>
      <c r="F25" s="70"/>
      <c r="G25" s="70"/>
      <c r="H25" s="70"/>
      <c r="I25" s="70"/>
      <c r="J25" s="71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53" t="s">
        <v>24</v>
      </c>
      <c r="B29" s="54"/>
      <c r="C29" s="54"/>
      <c r="D29" s="54"/>
      <c r="E29" s="54"/>
      <c r="F29" s="54"/>
      <c r="G29" s="54"/>
      <c r="H29" s="54"/>
      <c r="I29" s="54"/>
      <c r="J29" s="55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A3C9-DE38-417A-8E3A-EFCDC307CA17}">
  <dimension ref="A1:R50"/>
  <sheetViews>
    <sheetView topLeftCell="A17" zoomScaleNormal="100" workbookViewId="0">
      <selection activeCell="A28" sqref="A28:J28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44776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89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3</v>
      </c>
      <c r="L20" s="39"/>
      <c r="M20" s="6" t="s">
        <v>19</v>
      </c>
      <c r="N20" s="49"/>
      <c r="O20" s="50"/>
      <c r="P20" s="41"/>
      <c r="Q20" s="41"/>
      <c r="R20" s="41"/>
    </row>
    <row r="21" spans="1:18" ht="23.25" customHeight="1" x14ac:dyDescent="0.15">
      <c r="A21" s="42" t="s">
        <v>90</v>
      </c>
      <c r="B21" s="43"/>
      <c r="C21" s="43"/>
      <c r="D21" s="43"/>
      <c r="E21" s="43"/>
      <c r="F21" s="43"/>
      <c r="G21" s="43"/>
      <c r="H21" s="43"/>
      <c r="I21" s="43"/>
      <c r="J21" s="44"/>
      <c r="K21" s="39">
        <v>1</v>
      </c>
      <c r="L21" s="39"/>
      <c r="M21" s="6" t="s">
        <v>19</v>
      </c>
      <c r="N21" s="40"/>
      <c r="O21" s="40"/>
      <c r="P21" s="41"/>
      <c r="Q21" s="41"/>
      <c r="R21" s="41"/>
    </row>
    <row r="22" spans="1:18" ht="23.25" customHeight="1" x14ac:dyDescent="0.15">
      <c r="A22" s="42" t="s">
        <v>91</v>
      </c>
      <c r="B22" s="43"/>
      <c r="C22" s="43"/>
      <c r="D22" s="43"/>
      <c r="E22" s="43"/>
      <c r="F22" s="43"/>
      <c r="G22" s="43"/>
      <c r="H22" s="43"/>
      <c r="I22" s="43"/>
      <c r="J22" s="44"/>
      <c r="K22" s="39">
        <v>1</v>
      </c>
      <c r="L22" s="39"/>
      <c r="M22" s="6" t="s">
        <v>19</v>
      </c>
      <c r="N22" s="40"/>
      <c r="O22" s="40"/>
      <c r="P22" s="41"/>
      <c r="Q22" s="41"/>
      <c r="R22" s="41"/>
    </row>
    <row r="23" spans="1:18" ht="23.25" customHeight="1" x14ac:dyDescent="0.15">
      <c r="A23" s="42" t="s">
        <v>92</v>
      </c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 t="s">
        <v>19</v>
      </c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69" t="s">
        <v>93</v>
      </c>
      <c r="B25" s="70"/>
      <c r="C25" s="70"/>
      <c r="D25" s="70"/>
      <c r="E25" s="70"/>
      <c r="F25" s="70"/>
      <c r="G25" s="70"/>
      <c r="H25" s="70"/>
      <c r="I25" s="70"/>
      <c r="J25" s="71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53" t="s">
        <v>24</v>
      </c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 t="s">
        <v>94</v>
      </c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EF4C-C249-4BA6-B782-07F5990DEDFE}">
  <dimension ref="A1:R50"/>
  <sheetViews>
    <sheetView topLeftCell="A11" zoomScaleNormal="100" workbookViewId="0">
      <selection activeCell="P37" sqref="P37:R37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>
        <v>98735</v>
      </c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45432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40524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95</v>
      </c>
      <c r="B20" s="43"/>
      <c r="C20" s="43"/>
      <c r="D20" s="43"/>
      <c r="E20" s="43"/>
      <c r="F20" s="43"/>
      <c r="G20" s="43"/>
      <c r="H20" s="43"/>
      <c r="I20" s="43"/>
      <c r="J20" s="44"/>
      <c r="K20" s="39"/>
      <c r="L20" s="39"/>
      <c r="M20" s="6" t="s">
        <v>19</v>
      </c>
      <c r="N20" s="49">
        <v>32842</v>
      </c>
      <c r="O20" s="50"/>
      <c r="P20" s="41" t="str">
        <f>IF(K20="","",K20*N20)</f>
        <v/>
      </c>
      <c r="Q20" s="41"/>
      <c r="R20" s="41"/>
    </row>
    <row r="21" spans="1:18" ht="23.25" customHeight="1" x14ac:dyDescent="0.15">
      <c r="A21" s="42" t="s">
        <v>96</v>
      </c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 t="s">
        <v>19</v>
      </c>
      <c r="N21" s="40">
        <v>33922</v>
      </c>
      <c r="O21" s="40"/>
      <c r="P21" s="41" t="str">
        <f t="shared" ref="P21:P38" si="0">IF(K21="","",K21*N21)</f>
        <v/>
      </c>
      <c r="Q21" s="41"/>
      <c r="R21" s="41"/>
    </row>
    <row r="22" spans="1:18" ht="23.25" customHeight="1" x14ac:dyDescent="0.15">
      <c r="A22" s="42" t="s">
        <v>97</v>
      </c>
      <c r="B22" s="43"/>
      <c r="C22" s="43"/>
      <c r="D22" s="43"/>
      <c r="E22" s="43"/>
      <c r="F22" s="43"/>
      <c r="G22" s="43"/>
      <c r="H22" s="43"/>
      <c r="I22" s="43"/>
      <c r="J22" s="44"/>
      <c r="K22" s="39">
        <v>1</v>
      </c>
      <c r="L22" s="39"/>
      <c r="M22" s="6" t="s">
        <v>19</v>
      </c>
      <c r="N22" s="40">
        <v>36840</v>
      </c>
      <c r="O22" s="40"/>
      <c r="P22" s="41">
        <f t="shared" si="0"/>
        <v>36840</v>
      </c>
      <c r="Q22" s="41"/>
      <c r="R22" s="41"/>
    </row>
    <row r="23" spans="1:18" ht="23.25" customHeight="1" x14ac:dyDescent="0.15">
      <c r="A23" s="42" t="s">
        <v>38</v>
      </c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 t="s">
        <v>19</v>
      </c>
      <c r="N23" s="49">
        <v>44293</v>
      </c>
      <c r="O23" s="50"/>
      <c r="P23" s="41" t="str">
        <f t="shared" si="0"/>
        <v/>
      </c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 t="str">
        <f t="shared" si="0"/>
        <v/>
      </c>
      <c r="Q24" s="41"/>
      <c r="R24" s="41"/>
    </row>
    <row r="25" spans="1:18" ht="23.25" customHeight="1" x14ac:dyDescent="0.15">
      <c r="A25" s="69" t="s">
        <v>98</v>
      </c>
      <c r="B25" s="70"/>
      <c r="C25" s="70"/>
      <c r="D25" s="70"/>
      <c r="E25" s="70"/>
      <c r="F25" s="70"/>
      <c r="G25" s="70"/>
      <c r="H25" s="70"/>
      <c r="I25" s="70"/>
      <c r="J25" s="71"/>
      <c r="K25" s="51"/>
      <c r="L25" s="52"/>
      <c r="M25" s="7"/>
      <c r="N25" s="49"/>
      <c r="O25" s="50"/>
      <c r="P25" s="41" t="str">
        <f t="shared" si="0"/>
        <v/>
      </c>
      <c r="Q25" s="41"/>
      <c r="R25" s="41"/>
    </row>
    <row r="26" spans="1:18" ht="23.25" customHeight="1" x14ac:dyDescent="0.15">
      <c r="A26" s="53" t="s">
        <v>99</v>
      </c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 t="str">
        <f t="shared" si="0"/>
        <v/>
      </c>
      <c r="Q26" s="41"/>
      <c r="R26" s="41"/>
    </row>
    <row r="27" spans="1:18" ht="23.25" customHeight="1" x14ac:dyDescent="0.15">
      <c r="A27" s="42" t="s">
        <v>94</v>
      </c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 t="str">
        <f t="shared" si="0"/>
        <v/>
      </c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 t="str">
        <f t="shared" si="0"/>
        <v/>
      </c>
      <c r="Q28" s="41"/>
      <c r="R28" s="41"/>
    </row>
    <row r="29" spans="1:18" ht="23.25" customHeight="1" x14ac:dyDescent="0.15">
      <c r="A29" s="42"/>
      <c r="B29" s="43"/>
      <c r="C29" s="43"/>
      <c r="D29" s="43"/>
      <c r="E29" s="43"/>
      <c r="F29" s="43"/>
      <c r="G29" s="43"/>
      <c r="H29" s="43"/>
      <c r="I29" s="43"/>
      <c r="J29" s="44"/>
      <c r="K29" s="39"/>
      <c r="L29" s="39"/>
      <c r="M29" s="2"/>
      <c r="N29" s="40"/>
      <c r="O29" s="40"/>
      <c r="P29" s="41" t="str">
        <f t="shared" si="0"/>
        <v/>
      </c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 t="str">
        <f t="shared" si="0"/>
        <v/>
      </c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 t="str">
        <f t="shared" si="0"/>
        <v/>
      </c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 t="str">
        <f t="shared" si="0"/>
        <v/>
      </c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 t="str">
        <f t="shared" si="0"/>
        <v/>
      </c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 t="str">
        <f t="shared" si="0"/>
        <v/>
      </c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 t="str">
        <f t="shared" si="0"/>
        <v/>
      </c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 t="str">
        <f t="shared" si="0"/>
        <v/>
      </c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 t="str">
        <f t="shared" si="0"/>
        <v/>
      </c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 t="str">
        <f t="shared" si="0"/>
        <v/>
      </c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36840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3684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40524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68E00-B4DF-450D-BA43-D395D2799E3D}">
  <dimension ref="A1:R50"/>
  <sheetViews>
    <sheetView zoomScaleNormal="100" workbookViewId="0">
      <selection activeCell="A2" sqref="A2:R2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>
        <v>105618</v>
      </c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45807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100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101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102</v>
      </c>
      <c r="N20" s="49"/>
      <c r="O20" s="50"/>
      <c r="P20" s="41">
        <f>N20*K20</f>
        <v>0</v>
      </c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/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69"/>
      <c r="B25" s="70"/>
      <c r="C25" s="70"/>
      <c r="D25" s="70"/>
      <c r="E25" s="70"/>
      <c r="F25" s="70"/>
      <c r="G25" s="70"/>
      <c r="H25" s="70"/>
      <c r="I25" s="70"/>
      <c r="J25" s="71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 t="s">
        <v>103</v>
      </c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 t="s">
        <v>104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53" t="s">
        <v>24</v>
      </c>
      <c r="B29" s="54"/>
      <c r="C29" s="54"/>
      <c r="D29" s="54"/>
      <c r="E29" s="54"/>
      <c r="F29" s="54"/>
      <c r="G29" s="54"/>
      <c r="H29" s="54"/>
      <c r="I29" s="54"/>
      <c r="J29" s="55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1:J21"/>
    <mergeCell ref="K21:L21"/>
    <mergeCell ref="N21:O21"/>
    <mergeCell ref="P21:R21"/>
    <mergeCell ref="A22:J22"/>
    <mergeCell ref="K22:L22"/>
    <mergeCell ref="N22:O22"/>
    <mergeCell ref="P22:R22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1DB50-EF1E-4BB6-9345-773C6CA01BF2}">
  <dimension ref="A1:R50"/>
  <sheetViews>
    <sheetView topLeftCell="A2" zoomScaleNormal="100" workbookViewId="0">
      <selection activeCell="N24" sqref="N24:O24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>
        <v>97607</v>
      </c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45575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1661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100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101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87</v>
      </c>
      <c r="N20" s="49">
        <v>1510</v>
      </c>
      <c r="O20" s="50"/>
      <c r="P20" s="41">
        <f>N20*K20</f>
        <v>1510</v>
      </c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/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69"/>
      <c r="B25" s="70"/>
      <c r="C25" s="70"/>
      <c r="D25" s="70"/>
      <c r="E25" s="70"/>
      <c r="F25" s="70"/>
      <c r="G25" s="70"/>
      <c r="H25" s="70"/>
      <c r="I25" s="70"/>
      <c r="J25" s="71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53" t="s">
        <v>24</v>
      </c>
      <c r="B29" s="54"/>
      <c r="C29" s="54"/>
      <c r="D29" s="54"/>
      <c r="E29" s="54"/>
      <c r="F29" s="54"/>
      <c r="G29" s="54"/>
      <c r="H29" s="54"/>
      <c r="I29" s="54"/>
      <c r="J29" s="55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1510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151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1661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1:J21"/>
    <mergeCell ref="K21:L21"/>
    <mergeCell ref="N21:O21"/>
    <mergeCell ref="P21:R21"/>
    <mergeCell ref="A22:J22"/>
    <mergeCell ref="K22:L22"/>
    <mergeCell ref="N22:O22"/>
    <mergeCell ref="P22:R22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DA33-679D-4944-A36F-993B61361EE8}">
  <dimension ref="A1:R50"/>
  <sheetViews>
    <sheetView topLeftCell="A8" zoomScaleNormal="100" workbookViewId="0">
      <selection activeCell="A28" sqref="A28:J29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45846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85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105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87</v>
      </c>
      <c r="N20" s="49"/>
      <c r="O20" s="50"/>
      <c r="P20" s="41"/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/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69"/>
      <c r="B25" s="70"/>
      <c r="C25" s="70"/>
      <c r="D25" s="70"/>
      <c r="E25" s="70"/>
      <c r="F25" s="70"/>
      <c r="G25" s="70"/>
      <c r="H25" s="70"/>
      <c r="I25" s="70"/>
      <c r="J25" s="71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 t="s">
        <v>81</v>
      </c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53" t="s">
        <v>106</v>
      </c>
      <c r="B29" s="54"/>
      <c r="C29" s="54"/>
      <c r="D29" s="54"/>
      <c r="E29" s="54"/>
      <c r="F29" s="54"/>
      <c r="G29" s="54"/>
      <c r="H29" s="54"/>
      <c r="I29" s="54"/>
      <c r="J29" s="55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5873-A22A-4DF8-97CF-FB7F5AE26E97}">
  <dimension ref="A1:R50"/>
  <sheetViews>
    <sheetView topLeftCell="A11" zoomScaleNormal="100" workbookViewId="0">
      <selection activeCell="A20" sqref="A20:J20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44902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100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107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87</v>
      </c>
      <c r="N20" s="49"/>
      <c r="O20" s="50"/>
      <c r="P20" s="41"/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/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69" t="s">
        <v>108</v>
      </c>
      <c r="B25" s="70"/>
      <c r="C25" s="70"/>
      <c r="D25" s="70"/>
      <c r="E25" s="70"/>
      <c r="F25" s="70"/>
      <c r="G25" s="70"/>
      <c r="H25" s="70"/>
      <c r="I25" s="70"/>
      <c r="J25" s="71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53" t="s">
        <v>109</v>
      </c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53" t="s">
        <v>24</v>
      </c>
      <c r="B29" s="54"/>
      <c r="C29" s="54"/>
      <c r="D29" s="54"/>
      <c r="E29" s="54"/>
      <c r="F29" s="54"/>
      <c r="G29" s="54"/>
      <c r="H29" s="54"/>
      <c r="I29" s="54"/>
      <c r="J29" s="55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  <mergeCell ref="A21:J21"/>
    <mergeCell ref="K21:L21"/>
    <mergeCell ref="N21:O21"/>
    <mergeCell ref="P21:R21"/>
    <mergeCell ref="A22:J22"/>
    <mergeCell ref="K22:L22"/>
    <mergeCell ref="N22:O22"/>
    <mergeCell ref="P22:R22"/>
    <mergeCell ref="A23:J23"/>
    <mergeCell ref="K23:L23"/>
    <mergeCell ref="N23:O23"/>
    <mergeCell ref="P23:R23"/>
    <mergeCell ref="A24:J24"/>
    <mergeCell ref="K24:L24"/>
    <mergeCell ref="N24:O24"/>
    <mergeCell ref="P24:R24"/>
    <mergeCell ref="A25:J25"/>
    <mergeCell ref="K25:L25"/>
    <mergeCell ref="N25:O25"/>
    <mergeCell ref="P25:R25"/>
    <mergeCell ref="A26:J26"/>
    <mergeCell ref="K26:L26"/>
    <mergeCell ref="N26:O26"/>
    <mergeCell ref="P26:R26"/>
    <mergeCell ref="A27:J27"/>
    <mergeCell ref="K27:L27"/>
    <mergeCell ref="N27:O27"/>
    <mergeCell ref="P27:R27"/>
    <mergeCell ref="A28:J28"/>
    <mergeCell ref="K28:L28"/>
    <mergeCell ref="N28:O28"/>
    <mergeCell ref="P28:R28"/>
    <mergeCell ref="A29:J29"/>
    <mergeCell ref="K29:L29"/>
    <mergeCell ref="N29:O29"/>
    <mergeCell ref="P29:R29"/>
    <mergeCell ref="A30:J30"/>
    <mergeCell ref="K30:L30"/>
    <mergeCell ref="N30:O30"/>
    <mergeCell ref="P30:R30"/>
    <mergeCell ref="A31:J31"/>
    <mergeCell ref="K31:L31"/>
    <mergeCell ref="N31:O31"/>
    <mergeCell ref="P31:R31"/>
    <mergeCell ref="A32:J32"/>
    <mergeCell ref="K32:L32"/>
    <mergeCell ref="N32:O32"/>
    <mergeCell ref="P32:R32"/>
    <mergeCell ref="A33:J33"/>
    <mergeCell ref="K33:L33"/>
    <mergeCell ref="N33:O33"/>
    <mergeCell ref="P33:R33"/>
    <mergeCell ref="A34:J34"/>
    <mergeCell ref="K34:L34"/>
    <mergeCell ref="N34:O34"/>
    <mergeCell ref="P34:R34"/>
    <mergeCell ref="A35:J35"/>
    <mergeCell ref="K35:L35"/>
    <mergeCell ref="N35:O35"/>
    <mergeCell ref="P35:R35"/>
    <mergeCell ref="A36:J36"/>
    <mergeCell ref="K36:L36"/>
    <mergeCell ref="N36:O36"/>
    <mergeCell ref="P36:R36"/>
    <mergeCell ref="A37:J37"/>
    <mergeCell ref="K37:L37"/>
    <mergeCell ref="N37:O37"/>
    <mergeCell ref="P37:R37"/>
    <mergeCell ref="A38:J38"/>
    <mergeCell ref="K38:L38"/>
    <mergeCell ref="N38:O38"/>
    <mergeCell ref="P38:R38"/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0519-114B-47FA-B39B-3515ED7A1A21}">
  <dimension ref="A1:R50"/>
  <sheetViews>
    <sheetView zoomScaleNormal="100" workbookViewId="0">
      <selection activeCell="X13" sqref="X13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45575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7733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100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110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1</v>
      </c>
      <c r="L20" s="39"/>
      <c r="M20" s="6" t="s">
        <v>102</v>
      </c>
      <c r="N20" s="49">
        <v>1510</v>
      </c>
      <c r="O20" s="50"/>
      <c r="P20" s="41">
        <f>N20*K20</f>
        <v>1510</v>
      </c>
      <c r="Q20" s="41"/>
      <c r="R20" s="41"/>
    </row>
    <row r="21" spans="1:18" ht="23.25" customHeight="1" x14ac:dyDescent="0.15">
      <c r="A21" s="42" t="s">
        <v>111</v>
      </c>
      <c r="B21" s="43"/>
      <c r="C21" s="43"/>
      <c r="D21" s="43"/>
      <c r="E21" s="43"/>
      <c r="F21" s="43"/>
      <c r="G21" s="43"/>
      <c r="H21" s="43"/>
      <c r="I21" s="43"/>
      <c r="J21" s="44"/>
      <c r="K21" s="39">
        <v>1</v>
      </c>
      <c r="L21" s="39"/>
      <c r="M21" s="6" t="s">
        <v>102</v>
      </c>
      <c r="N21" s="40">
        <v>5520</v>
      </c>
      <c r="O21" s="40"/>
      <c r="P21" s="41">
        <f>N21*K21</f>
        <v>5520</v>
      </c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56" t="s">
        <v>57</v>
      </c>
      <c r="B25" s="43"/>
      <c r="C25" s="43"/>
      <c r="D25" s="43"/>
      <c r="E25" s="43"/>
      <c r="F25" s="43"/>
      <c r="G25" s="43"/>
      <c r="H25" s="43"/>
      <c r="I25" s="43"/>
      <c r="J25" s="44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42" t="s">
        <v>58</v>
      </c>
      <c r="B26" s="43"/>
      <c r="C26" s="43"/>
      <c r="D26" s="43"/>
      <c r="E26" s="43"/>
      <c r="F26" s="43"/>
      <c r="G26" s="43"/>
      <c r="H26" s="43"/>
      <c r="I26" s="43"/>
      <c r="J26" s="44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53"/>
      <c r="B29" s="54"/>
      <c r="C29" s="54"/>
      <c r="D29" s="54"/>
      <c r="E29" s="54"/>
      <c r="F29" s="54"/>
      <c r="G29" s="54"/>
      <c r="H29" s="54"/>
      <c r="I29" s="54"/>
      <c r="J29" s="55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7030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703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7733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1:J21"/>
    <mergeCell ref="K21:L21"/>
    <mergeCell ref="N21:O21"/>
    <mergeCell ref="P21:R21"/>
    <mergeCell ref="A22:J22"/>
    <mergeCell ref="K22:L22"/>
    <mergeCell ref="N22:O22"/>
    <mergeCell ref="P22:R22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942B-0D70-435B-ACF9-2C4937D88A29}">
  <dimension ref="A1:R50"/>
  <sheetViews>
    <sheetView zoomScaleNormal="100" workbookViewId="0">
      <selection activeCell="A29" sqref="A29:J29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/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45043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85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112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2</v>
      </c>
      <c r="L20" s="39"/>
      <c r="M20" s="6" t="s">
        <v>87</v>
      </c>
      <c r="N20" s="49"/>
      <c r="O20" s="50"/>
      <c r="P20" s="41"/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/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69" t="s">
        <v>113</v>
      </c>
      <c r="B25" s="70"/>
      <c r="C25" s="70"/>
      <c r="D25" s="70"/>
      <c r="E25" s="70"/>
      <c r="F25" s="70"/>
      <c r="G25" s="70"/>
      <c r="H25" s="70"/>
      <c r="I25" s="70"/>
      <c r="J25" s="71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53" t="s">
        <v>24</v>
      </c>
      <c r="B29" s="54"/>
      <c r="C29" s="54"/>
      <c r="D29" s="54"/>
      <c r="E29" s="54"/>
      <c r="F29" s="54"/>
      <c r="G29" s="54"/>
      <c r="H29" s="54"/>
      <c r="I29" s="54"/>
      <c r="J29" s="55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1:J21"/>
    <mergeCell ref="K21:L21"/>
    <mergeCell ref="N21:O21"/>
    <mergeCell ref="P21:R21"/>
    <mergeCell ref="A22:J22"/>
    <mergeCell ref="K22:L22"/>
    <mergeCell ref="N22:O22"/>
    <mergeCell ref="P22:R22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5FA0-B4FB-408C-8B0C-33CB2108D6AE}">
  <dimension ref="A1:R50"/>
  <sheetViews>
    <sheetView topLeftCell="A2" zoomScaleNormal="100" workbookViewId="0">
      <selection activeCell="A23" sqref="A23:J23"/>
    </sheetView>
  </sheetViews>
  <sheetFormatPr defaultRowHeight="13.5" x14ac:dyDescent="0.15"/>
  <cols>
    <col min="1" max="11" width="5" customWidth="1"/>
    <col min="12" max="12" width="4" customWidth="1"/>
    <col min="13" max="13" width="6.375" customWidth="1"/>
    <col min="14" max="17" width="5" customWidth="1"/>
    <col min="18" max="18" width="7" customWidth="1"/>
    <col min="19" max="21" width="4.75" customWidth="1"/>
  </cols>
  <sheetData>
    <row r="1" spans="1:18" x14ac:dyDescent="0.15">
      <c r="Q1" s="1" t="s">
        <v>0</v>
      </c>
      <c r="R1" s="1">
        <v>109259</v>
      </c>
    </row>
    <row r="2" spans="1:18" ht="27.75" customHeight="1" x14ac:dyDescent="0.1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 x14ac:dyDescent="0.15">
      <c r="A4" s="25">
        <v>44902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4.5" customHeight="1" x14ac:dyDescent="0.1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7" spans="1:18" ht="21" customHeight="1" x14ac:dyDescent="0.15">
      <c r="A7" s="26" t="s">
        <v>3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8" x14ac:dyDescent="0.15">
      <c r="O8" s="27"/>
      <c r="P8" s="24"/>
      <c r="Q8" s="24"/>
      <c r="R8" s="24"/>
    </row>
    <row r="9" spans="1:18" ht="3" customHeight="1" x14ac:dyDescent="0.15"/>
    <row r="10" spans="1:18" ht="21" customHeight="1" x14ac:dyDescent="0.15">
      <c r="L10" s="9" t="s">
        <v>4</v>
      </c>
      <c r="M10" s="3"/>
    </row>
    <row r="11" spans="1:18" ht="19.5" customHeight="1" x14ac:dyDescent="0.15">
      <c r="A11" s="8" t="s">
        <v>5</v>
      </c>
      <c r="B11" s="8"/>
      <c r="C11" s="8"/>
      <c r="D11" s="8"/>
      <c r="E11" s="8"/>
      <c r="F11" s="8"/>
      <c r="G11" s="8"/>
      <c r="H11" s="8"/>
      <c r="I11" s="8"/>
      <c r="J11" s="8"/>
      <c r="L11" s="11" t="s">
        <v>6</v>
      </c>
      <c r="M11" s="11"/>
    </row>
    <row r="12" spans="1:18" ht="18" customHeight="1" x14ac:dyDescent="0.15">
      <c r="A12" s="8" t="s">
        <v>7</v>
      </c>
      <c r="B12" s="8"/>
      <c r="C12" s="8"/>
      <c r="D12" s="8"/>
      <c r="E12" s="8"/>
      <c r="F12" s="8"/>
      <c r="G12" s="8"/>
      <c r="H12" s="8"/>
      <c r="I12" s="8"/>
      <c r="J12" s="8"/>
      <c r="L12" t="s">
        <v>8</v>
      </c>
    </row>
    <row r="13" spans="1:18" ht="18" customHeight="1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L13" t="s">
        <v>9</v>
      </c>
    </row>
    <row r="14" spans="1:18" ht="3.75" customHeight="1" x14ac:dyDescent="0.15"/>
    <row r="15" spans="1:18" ht="4.5" customHeight="1" x14ac:dyDescent="0.15"/>
    <row r="16" spans="1:18" ht="9.75" customHeight="1" x14ac:dyDescent="0.15">
      <c r="A16" s="28" t="s">
        <v>10</v>
      </c>
      <c r="B16" s="29"/>
      <c r="C16" s="29"/>
      <c r="D16" s="29"/>
      <c r="E16" s="32">
        <f>P41</f>
        <v>0</v>
      </c>
      <c r="F16" s="33"/>
      <c r="G16" s="33"/>
      <c r="H16" s="33"/>
      <c r="I16" s="12"/>
      <c r="J16" s="14"/>
    </row>
    <row r="17" spans="1:18" ht="45" customHeight="1" x14ac:dyDescent="0.15">
      <c r="A17" s="30"/>
      <c r="B17" s="31"/>
      <c r="C17" s="31"/>
      <c r="D17" s="31"/>
      <c r="E17" s="34"/>
      <c r="F17" s="35"/>
      <c r="G17" s="35"/>
      <c r="H17" s="35"/>
      <c r="I17" s="13"/>
      <c r="J17" s="15"/>
      <c r="K17" t="s">
        <v>11</v>
      </c>
    </row>
    <row r="18" spans="1:18" ht="15" customHeight="1" x14ac:dyDescent="0.15">
      <c r="A18" s="42" t="s">
        <v>100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</row>
    <row r="19" spans="1:18" ht="23.25" customHeight="1" x14ac:dyDescent="0.15">
      <c r="A19" s="45" t="s">
        <v>13</v>
      </c>
      <c r="B19" s="46"/>
      <c r="C19" s="46"/>
      <c r="D19" s="46"/>
      <c r="E19" s="46"/>
      <c r="F19" s="46"/>
      <c r="G19" s="46"/>
      <c r="H19" s="46"/>
      <c r="I19" s="46"/>
      <c r="J19" s="47"/>
      <c r="K19" s="48" t="s">
        <v>14</v>
      </c>
      <c r="L19" s="48"/>
      <c r="M19" s="4" t="s">
        <v>15</v>
      </c>
      <c r="N19" s="48" t="s">
        <v>16</v>
      </c>
      <c r="O19" s="48"/>
      <c r="P19" s="48" t="s">
        <v>17</v>
      </c>
      <c r="Q19" s="48"/>
      <c r="R19" s="48"/>
    </row>
    <row r="20" spans="1:18" ht="23.25" customHeight="1" x14ac:dyDescent="0.15">
      <c r="A20" s="42" t="s">
        <v>114</v>
      </c>
      <c r="B20" s="43"/>
      <c r="C20" s="43"/>
      <c r="D20" s="43"/>
      <c r="E20" s="43"/>
      <c r="F20" s="43"/>
      <c r="G20" s="43"/>
      <c r="H20" s="43"/>
      <c r="I20" s="43"/>
      <c r="J20" s="44"/>
      <c r="K20" s="39">
        <v>2</v>
      </c>
      <c r="L20" s="39"/>
      <c r="M20" s="6" t="s">
        <v>87</v>
      </c>
      <c r="N20" s="49"/>
      <c r="O20" s="50"/>
      <c r="P20" s="41"/>
      <c r="Q20" s="41"/>
      <c r="R20" s="41"/>
    </row>
    <row r="21" spans="1:18" ht="23.25" customHeight="1" x14ac:dyDescent="0.15">
      <c r="A21" s="42"/>
      <c r="B21" s="43"/>
      <c r="C21" s="43"/>
      <c r="D21" s="43"/>
      <c r="E21" s="43"/>
      <c r="F21" s="43"/>
      <c r="G21" s="43"/>
      <c r="H21" s="43"/>
      <c r="I21" s="43"/>
      <c r="J21" s="44"/>
      <c r="K21" s="39"/>
      <c r="L21" s="39"/>
      <c r="M21" s="6"/>
      <c r="N21" s="40"/>
      <c r="O21" s="40"/>
      <c r="P21" s="41"/>
      <c r="Q21" s="41"/>
      <c r="R21" s="41"/>
    </row>
    <row r="22" spans="1:18" ht="23.25" customHeight="1" x14ac:dyDescent="0.15">
      <c r="A22" s="42"/>
      <c r="B22" s="43"/>
      <c r="C22" s="43"/>
      <c r="D22" s="43"/>
      <c r="E22" s="43"/>
      <c r="F22" s="43"/>
      <c r="G22" s="43"/>
      <c r="H22" s="43"/>
      <c r="I22" s="43"/>
      <c r="J22" s="44"/>
      <c r="K22" s="39"/>
      <c r="L22" s="39"/>
      <c r="M22" s="6"/>
      <c r="N22" s="40"/>
      <c r="O22" s="40"/>
      <c r="P22" s="41"/>
      <c r="Q22" s="41"/>
      <c r="R22" s="41"/>
    </row>
    <row r="23" spans="1:18" ht="23.25" customHeight="1" x14ac:dyDescent="0.15">
      <c r="A23" s="42"/>
      <c r="B23" s="43"/>
      <c r="C23" s="43"/>
      <c r="D23" s="43"/>
      <c r="E23" s="43"/>
      <c r="F23" s="43"/>
      <c r="G23" s="43"/>
      <c r="H23" s="43"/>
      <c r="I23" s="43"/>
      <c r="J23" s="44"/>
      <c r="K23" s="39"/>
      <c r="L23" s="39"/>
      <c r="M23" s="6"/>
      <c r="N23" s="49"/>
      <c r="O23" s="50"/>
      <c r="P23" s="41"/>
      <c r="Q23" s="41"/>
      <c r="R23" s="41"/>
    </row>
    <row r="24" spans="1:18" ht="23.25" customHeight="1" x14ac:dyDescent="0.15">
      <c r="A24" s="68"/>
      <c r="B24" s="43"/>
      <c r="C24" s="43"/>
      <c r="D24" s="43"/>
      <c r="E24" s="43"/>
      <c r="F24" s="43"/>
      <c r="G24" s="43"/>
      <c r="H24" s="43"/>
      <c r="I24" s="43"/>
      <c r="J24" s="44"/>
      <c r="K24" s="51"/>
      <c r="L24" s="52"/>
      <c r="M24" s="7"/>
      <c r="N24" s="49"/>
      <c r="O24" s="50"/>
      <c r="P24" s="41"/>
      <c r="Q24" s="41"/>
      <c r="R24" s="41"/>
    </row>
    <row r="25" spans="1:18" ht="23.25" customHeight="1" x14ac:dyDescent="0.15">
      <c r="A25" s="42" t="s">
        <v>81</v>
      </c>
      <c r="B25" s="43"/>
      <c r="C25" s="43"/>
      <c r="D25" s="43"/>
      <c r="E25" s="43"/>
      <c r="F25" s="43"/>
      <c r="G25" s="43"/>
      <c r="H25" s="43"/>
      <c r="I25" s="43"/>
      <c r="J25" s="44"/>
      <c r="K25" s="51"/>
      <c r="L25" s="52"/>
      <c r="M25" s="7"/>
      <c r="N25" s="49"/>
      <c r="O25" s="50"/>
      <c r="P25" s="41"/>
      <c r="Q25" s="41"/>
      <c r="R25" s="41"/>
    </row>
    <row r="26" spans="1:18" ht="23.25" customHeight="1" x14ac:dyDescent="0.15">
      <c r="A26" s="53"/>
      <c r="B26" s="54"/>
      <c r="C26" s="54"/>
      <c r="D26" s="54"/>
      <c r="E26" s="54"/>
      <c r="F26" s="54"/>
      <c r="G26" s="54"/>
      <c r="H26" s="54"/>
      <c r="I26" s="54"/>
      <c r="J26" s="55"/>
      <c r="K26" s="51"/>
      <c r="L26" s="52"/>
      <c r="M26" s="7"/>
      <c r="N26" s="49"/>
      <c r="O26" s="50"/>
      <c r="P26" s="41"/>
      <c r="Q26" s="41"/>
      <c r="R26" s="41"/>
    </row>
    <row r="27" spans="1:18" ht="23.25" customHeight="1" x14ac:dyDescent="0.15">
      <c r="A27" s="42"/>
      <c r="B27" s="43"/>
      <c r="C27" s="43"/>
      <c r="D27" s="43"/>
      <c r="E27" s="43"/>
      <c r="F27" s="43"/>
      <c r="G27" s="43"/>
      <c r="H27" s="43"/>
      <c r="I27" s="43"/>
      <c r="J27" s="44"/>
      <c r="K27" s="51"/>
      <c r="L27" s="52"/>
      <c r="M27" s="2"/>
      <c r="N27" s="49"/>
      <c r="O27" s="50"/>
      <c r="P27" s="41"/>
      <c r="Q27" s="41"/>
      <c r="R27" s="41"/>
    </row>
    <row r="28" spans="1:18" ht="23.25" customHeight="1" x14ac:dyDescent="0.15">
      <c r="A28" s="42"/>
      <c r="B28" s="43"/>
      <c r="C28" s="43"/>
      <c r="D28" s="43"/>
      <c r="E28" s="43"/>
      <c r="F28" s="43"/>
      <c r="G28" s="43"/>
      <c r="H28" s="43"/>
      <c r="I28" s="43"/>
      <c r="J28" s="44"/>
      <c r="K28" s="51"/>
      <c r="L28" s="52"/>
      <c r="M28" s="2"/>
      <c r="N28" s="49"/>
      <c r="O28" s="50"/>
      <c r="P28" s="41"/>
      <c r="Q28" s="41"/>
      <c r="R28" s="41"/>
    </row>
    <row r="29" spans="1:18" ht="23.25" customHeight="1" x14ac:dyDescent="0.15">
      <c r="A29" s="53" t="s">
        <v>24</v>
      </c>
      <c r="B29" s="54"/>
      <c r="C29" s="54"/>
      <c r="D29" s="54"/>
      <c r="E29" s="54"/>
      <c r="F29" s="54"/>
      <c r="G29" s="54"/>
      <c r="H29" s="54"/>
      <c r="I29" s="54"/>
      <c r="J29" s="55"/>
      <c r="K29" s="39"/>
      <c r="L29" s="39"/>
      <c r="M29" s="2"/>
      <c r="N29" s="40"/>
      <c r="O29" s="40"/>
      <c r="P29" s="41"/>
      <c r="Q29" s="41"/>
      <c r="R29" s="41"/>
    </row>
    <row r="30" spans="1:18" ht="23.25" customHeight="1" x14ac:dyDescent="0.15">
      <c r="A30" s="42"/>
      <c r="B30" s="43"/>
      <c r="C30" s="43"/>
      <c r="D30" s="43"/>
      <c r="E30" s="43"/>
      <c r="F30" s="43"/>
      <c r="G30" s="43"/>
      <c r="H30" s="43"/>
      <c r="I30" s="43"/>
      <c r="J30" s="44"/>
      <c r="K30" s="39"/>
      <c r="L30" s="39"/>
      <c r="M30" s="2"/>
      <c r="N30" s="40"/>
      <c r="O30" s="40"/>
      <c r="P30" s="41"/>
      <c r="Q30" s="41"/>
      <c r="R30" s="41"/>
    </row>
    <row r="31" spans="1:18" ht="23.25" customHeight="1" x14ac:dyDescent="0.15">
      <c r="A31" s="42"/>
      <c r="B31" s="43"/>
      <c r="C31" s="43"/>
      <c r="D31" s="43"/>
      <c r="E31" s="43"/>
      <c r="F31" s="43"/>
      <c r="G31" s="43"/>
      <c r="H31" s="43"/>
      <c r="I31" s="43"/>
      <c r="J31" s="44"/>
      <c r="K31" s="39"/>
      <c r="L31" s="39"/>
      <c r="M31" s="2"/>
      <c r="N31" s="40"/>
      <c r="O31" s="40"/>
      <c r="P31" s="41"/>
      <c r="Q31" s="41"/>
      <c r="R31" s="41"/>
    </row>
    <row r="32" spans="1:18" ht="23.25" customHeight="1" x14ac:dyDescent="0.15">
      <c r="A32" s="42"/>
      <c r="B32" s="43"/>
      <c r="C32" s="43"/>
      <c r="D32" s="43"/>
      <c r="E32" s="43"/>
      <c r="F32" s="43"/>
      <c r="G32" s="43"/>
      <c r="H32" s="43"/>
      <c r="I32" s="43"/>
      <c r="J32" s="44"/>
      <c r="K32" s="39"/>
      <c r="L32" s="39"/>
      <c r="M32" s="2"/>
      <c r="N32" s="40"/>
      <c r="O32" s="40"/>
      <c r="P32" s="41"/>
      <c r="Q32" s="41"/>
      <c r="R32" s="41"/>
    </row>
    <row r="33" spans="1:18" ht="23.25" customHeight="1" x14ac:dyDescent="0.15">
      <c r="A33" s="42"/>
      <c r="B33" s="43"/>
      <c r="C33" s="43"/>
      <c r="D33" s="43"/>
      <c r="E33" s="43"/>
      <c r="F33" s="43"/>
      <c r="G33" s="43"/>
      <c r="H33" s="43"/>
      <c r="I33" s="43"/>
      <c r="J33" s="44"/>
      <c r="K33" s="39"/>
      <c r="L33" s="39"/>
      <c r="M33" s="2"/>
      <c r="N33" s="40"/>
      <c r="O33" s="40"/>
      <c r="P33" s="41"/>
      <c r="Q33" s="41"/>
      <c r="R33" s="41"/>
    </row>
    <row r="34" spans="1:18" ht="23.25" customHeight="1" x14ac:dyDescent="0.15">
      <c r="A34" s="42"/>
      <c r="B34" s="43"/>
      <c r="C34" s="43"/>
      <c r="D34" s="43"/>
      <c r="E34" s="43"/>
      <c r="F34" s="43"/>
      <c r="G34" s="43"/>
      <c r="H34" s="43"/>
      <c r="I34" s="43"/>
      <c r="J34" s="44"/>
      <c r="K34" s="39"/>
      <c r="L34" s="39"/>
      <c r="M34" s="2"/>
      <c r="N34" s="40"/>
      <c r="O34" s="40"/>
      <c r="P34" s="41"/>
      <c r="Q34" s="41"/>
      <c r="R34" s="41"/>
    </row>
    <row r="35" spans="1:18" ht="23.25" customHeight="1" x14ac:dyDescent="0.15">
      <c r="A35" s="42"/>
      <c r="B35" s="43"/>
      <c r="C35" s="43"/>
      <c r="D35" s="43"/>
      <c r="E35" s="43"/>
      <c r="F35" s="43"/>
      <c r="G35" s="43"/>
      <c r="H35" s="43"/>
      <c r="I35" s="43"/>
      <c r="J35" s="44"/>
      <c r="K35" s="39"/>
      <c r="L35" s="39"/>
      <c r="M35" s="2"/>
      <c r="N35" s="40"/>
      <c r="O35" s="40"/>
      <c r="P35" s="41"/>
      <c r="Q35" s="41"/>
      <c r="R35" s="41"/>
    </row>
    <row r="36" spans="1:18" ht="23.25" customHeight="1" x14ac:dyDescent="0.15">
      <c r="A36" s="42"/>
      <c r="B36" s="43"/>
      <c r="C36" s="43"/>
      <c r="D36" s="43"/>
      <c r="E36" s="43"/>
      <c r="F36" s="43"/>
      <c r="G36" s="43"/>
      <c r="H36" s="43"/>
      <c r="I36" s="43"/>
      <c r="J36" s="44"/>
      <c r="K36" s="39"/>
      <c r="L36" s="39"/>
      <c r="M36" s="2"/>
      <c r="N36" s="40"/>
      <c r="O36" s="40"/>
      <c r="P36" s="41"/>
      <c r="Q36" s="41"/>
      <c r="R36" s="41"/>
    </row>
    <row r="37" spans="1:18" ht="23.25" customHeight="1" x14ac:dyDescent="0.15">
      <c r="A37" s="42"/>
      <c r="B37" s="43"/>
      <c r="C37" s="43"/>
      <c r="D37" s="43"/>
      <c r="E37" s="43"/>
      <c r="F37" s="43"/>
      <c r="G37" s="43"/>
      <c r="H37" s="43"/>
      <c r="I37" s="43"/>
      <c r="J37" s="44"/>
      <c r="K37" s="39"/>
      <c r="L37" s="39"/>
      <c r="M37" s="2"/>
      <c r="N37" s="40"/>
      <c r="O37" s="40"/>
      <c r="P37" s="41"/>
      <c r="Q37" s="41"/>
      <c r="R37" s="41"/>
    </row>
    <row r="38" spans="1:18" ht="23.25" customHeight="1" x14ac:dyDescent="0.15">
      <c r="A38" s="42"/>
      <c r="B38" s="43"/>
      <c r="C38" s="43"/>
      <c r="D38" s="43"/>
      <c r="E38" s="43"/>
      <c r="F38" s="43"/>
      <c r="G38" s="43"/>
      <c r="H38" s="43"/>
      <c r="I38" s="43"/>
      <c r="J38" s="44"/>
      <c r="K38" s="39"/>
      <c r="L38" s="39"/>
      <c r="M38" s="2"/>
      <c r="N38" s="40"/>
      <c r="O38" s="40"/>
      <c r="P38" s="41"/>
      <c r="Q38" s="41"/>
      <c r="R38" s="41"/>
    </row>
    <row r="39" spans="1:18" ht="23.25" customHeight="1" x14ac:dyDescent="0.15">
      <c r="A39" s="51" t="s">
        <v>25</v>
      </c>
      <c r="B39" s="64"/>
      <c r="C39" s="64"/>
      <c r="D39" s="64"/>
      <c r="E39" s="64"/>
      <c r="F39" s="64"/>
      <c r="G39" s="64"/>
      <c r="H39" s="64"/>
      <c r="I39" s="64"/>
      <c r="J39" s="52"/>
      <c r="K39" s="65"/>
      <c r="L39" s="65"/>
      <c r="M39" s="2"/>
      <c r="N39" s="40"/>
      <c r="O39" s="40"/>
      <c r="P39" s="41">
        <f>SUM(P20:R38)</f>
        <v>0</v>
      </c>
      <c r="Q39" s="41"/>
      <c r="R39" s="41"/>
    </row>
    <row r="40" spans="1:18" ht="23.25" customHeight="1" x14ac:dyDescent="0.15">
      <c r="A40" s="51" t="s">
        <v>26</v>
      </c>
      <c r="B40" s="64"/>
      <c r="C40" s="64"/>
      <c r="D40" s="64"/>
      <c r="E40" s="64"/>
      <c r="F40" s="64"/>
      <c r="G40" s="64"/>
      <c r="H40" s="64"/>
      <c r="I40" s="64"/>
      <c r="J40" s="52"/>
      <c r="K40" s="65"/>
      <c r="L40" s="65"/>
      <c r="M40" s="2"/>
      <c r="N40" s="40"/>
      <c r="O40" s="40"/>
      <c r="P40" s="41">
        <f>P39*0.1</f>
        <v>0</v>
      </c>
      <c r="Q40" s="41"/>
      <c r="R40" s="41"/>
    </row>
    <row r="41" spans="1:18" ht="23.25" customHeight="1" x14ac:dyDescent="0.15">
      <c r="A41" s="45" t="s">
        <v>27</v>
      </c>
      <c r="B41" s="46"/>
      <c r="C41" s="46"/>
      <c r="D41" s="46"/>
      <c r="E41" s="46"/>
      <c r="F41" s="46"/>
      <c r="G41" s="46"/>
      <c r="H41" s="46"/>
      <c r="I41" s="46"/>
      <c r="J41" s="47"/>
      <c r="K41" s="57"/>
      <c r="L41" s="57"/>
      <c r="M41" s="4"/>
      <c r="N41" s="58"/>
      <c r="O41" s="58"/>
      <c r="P41" s="59">
        <f>P39+P40</f>
        <v>0</v>
      </c>
      <c r="Q41" s="59"/>
      <c r="R41" s="59"/>
    </row>
    <row r="42" spans="1:18" ht="23.25" customHeight="1" x14ac:dyDescent="0.15">
      <c r="A42" s="16" t="s">
        <v>28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8"/>
    </row>
    <row r="43" spans="1:18" ht="23.25" customHeight="1" x14ac:dyDescent="0.15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9"/>
    </row>
    <row r="47" spans="1:18" ht="18.75" x14ac:dyDescent="0.15">
      <c r="B47" s="10"/>
    </row>
    <row r="48" spans="1:18" ht="7.5" customHeight="1" x14ac:dyDescent="0.15"/>
    <row r="49" spans="2:2" ht="15" x14ac:dyDescent="0.15">
      <c r="B49" s="11"/>
    </row>
    <row r="50" spans="2:2" ht="9.75" customHeight="1" x14ac:dyDescent="0.15"/>
  </sheetData>
  <mergeCells count="100">
    <mergeCell ref="A41:J41"/>
    <mergeCell ref="K41:L41"/>
    <mergeCell ref="N41:O41"/>
    <mergeCell ref="P41:R41"/>
    <mergeCell ref="A39:J39"/>
    <mergeCell ref="K39:L39"/>
    <mergeCell ref="N39:O39"/>
    <mergeCell ref="P39:R39"/>
    <mergeCell ref="A40:J40"/>
    <mergeCell ref="K40:L40"/>
    <mergeCell ref="N40:O40"/>
    <mergeCell ref="P40:R40"/>
    <mergeCell ref="A37:J37"/>
    <mergeCell ref="K37:L37"/>
    <mergeCell ref="N37:O37"/>
    <mergeCell ref="P37:R37"/>
    <mergeCell ref="A38:J38"/>
    <mergeCell ref="K38:L38"/>
    <mergeCell ref="N38:O38"/>
    <mergeCell ref="P38:R38"/>
    <mergeCell ref="A35:J35"/>
    <mergeCell ref="K35:L35"/>
    <mergeCell ref="N35:O35"/>
    <mergeCell ref="P35:R35"/>
    <mergeCell ref="A36:J36"/>
    <mergeCell ref="K36:L36"/>
    <mergeCell ref="N36:O36"/>
    <mergeCell ref="P36:R36"/>
    <mergeCell ref="A33:J33"/>
    <mergeCell ref="K33:L33"/>
    <mergeCell ref="N33:O33"/>
    <mergeCell ref="P33:R33"/>
    <mergeCell ref="A34:J34"/>
    <mergeCell ref="K34:L34"/>
    <mergeCell ref="N34:O34"/>
    <mergeCell ref="P34:R34"/>
    <mergeCell ref="A31:J31"/>
    <mergeCell ref="K31:L31"/>
    <mergeCell ref="N31:O31"/>
    <mergeCell ref="P31:R31"/>
    <mergeCell ref="A32:J32"/>
    <mergeCell ref="K32:L32"/>
    <mergeCell ref="N32:O32"/>
    <mergeCell ref="P32:R32"/>
    <mergeCell ref="A29:J29"/>
    <mergeCell ref="K29:L29"/>
    <mergeCell ref="N29:O29"/>
    <mergeCell ref="P29:R29"/>
    <mergeCell ref="A30:J30"/>
    <mergeCell ref="K30:L30"/>
    <mergeCell ref="N30:O30"/>
    <mergeCell ref="P30:R30"/>
    <mergeCell ref="A27:J27"/>
    <mergeCell ref="K27:L27"/>
    <mergeCell ref="N27:O27"/>
    <mergeCell ref="P27:R27"/>
    <mergeCell ref="A28:J28"/>
    <mergeCell ref="K28:L28"/>
    <mergeCell ref="N28:O28"/>
    <mergeCell ref="P28:R28"/>
    <mergeCell ref="A25:J25"/>
    <mergeCell ref="K25:L25"/>
    <mergeCell ref="N25:O25"/>
    <mergeCell ref="P25:R25"/>
    <mergeCell ref="A26:J26"/>
    <mergeCell ref="K26:L26"/>
    <mergeCell ref="N26:O26"/>
    <mergeCell ref="P26:R26"/>
    <mergeCell ref="A23:J23"/>
    <mergeCell ref="K23:L23"/>
    <mergeCell ref="N23:O23"/>
    <mergeCell ref="P23:R23"/>
    <mergeCell ref="A24:J24"/>
    <mergeCell ref="K24:L24"/>
    <mergeCell ref="N24:O24"/>
    <mergeCell ref="P24:R24"/>
    <mergeCell ref="A21:J21"/>
    <mergeCell ref="K21:L21"/>
    <mergeCell ref="N21:O21"/>
    <mergeCell ref="P21:R21"/>
    <mergeCell ref="A22:J22"/>
    <mergeCell ref="K22:L22"/>
    <mergeCell ref="N22:O22"/>
    <mergeCell ref="P22:R22"/>
    <mergeCell ref="A20:J20"/>
    <mergeCell ref="K20:L20"/>
    <mergeCell ref="N20:O20"/>
    <mergeCell ref="P20:R20"/>
    <mergeCell ref="A2:R2"/>
    <mergeCell ref="A3:R3"/>
    <mergeCell ref="A4:R4"/>
    <mergeCell ref="A7:M7"/>
    <mergeCell ref="O8:R8"/>
    <mergeCell ref="A16:D17"/>
    <mergeCell ref="E16:H17"/>
    <mergeCell ref="A18:R18"/>
    <mergeCell ref="A19:J19"/>
    <mergeCell ref="K19:L19"/>
    <mergeCell ref="N19:O19"/>
    <mergeCell ref="P19:R19"/>
  </mergeCells>
  <phoneticPr fontId="2"/>
  <pageMargins left="0.62992125984251968" right="0.51181102362204722" top="0.39370078740157483" bottom="0.31496062992125984" header="0.39370078740157483" footer="0.51181102362204722"/>
  <pageSetup paperSize="9" scale="9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811308B82393345B95E5F0B94FB15CF" ma:contentTypeVersion="16" ma:contentTypeDescription="新しいドキュメントを作成します。" ma:contentTypeScope="" ma:versionID="c12ad9293bd963534ff1d990b26c91f0">
  <xsd:schema xmlns:xsd="http://www.w3.org/2001/XMLSchema" xmlns:xs="http://www.w3.org/2001/XMLSchema" xmlns:p="http://schemas.microsoft.com/office/2006/metadata/properties" xmlns:ns2="8591ffcc-27fc-42fb-931f-af539c7ace3b" xmlns:ns3="49ff6884-c76d-4694-a8cf-0940ec0ba9e3" targetNamespace="http://schemas.microsoft.com/office/2006/metadata/properties" ma:root="true" ma:fieldsID="ce152aa2ea144ecaab5d8bc614471cea" ns2:_="" ns3:_="">
    <xsd:import namespace="8591ffcc-27fc-42fb-931f-af539c7ace3b"/>
    <xsd:import namespace="49ff6884-c76d-4694-a8cf-0940ec0ba9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1ffcc-27fc-42fb-931f-af539c7ace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33806c16-6e0d-4751-81f4-f352703113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ff6884-c76d-4694-a8cf-0940ec0ba9e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561729e-7598-481f-90db-7417c718a6cc}" ma:internalName="TaxCatchAll" ma:showField="CatchAllData" ma:web="49ff6884-c76d-4694-a8cf-0940ec0ba9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ff6884-c76d-4694-a8cf-0940ec0ba9e3" xsi:nil="true"/>
    <lcf76f155ced4ddcb4097134ff3c332f xmlns="8591ffcc-27fc-42fb-931f-af539c7ace3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B3D330-07A2-4BF9-8C75-DA8A80F4E1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645A07-0C57-4845-BFC2-EB5836EE2D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91ffcc-27fc-42fb-931f-af539c7ace3b"/>
    <ds:schemaRef ds:uri="49ff6884-c76d-4694-a8cf-0940ec0ba9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467D6D-47D6-461D-99DA-9F6B246DF980}">
  <ds:schemaRefs>
    <ds:schemaRef ds:uri="http://schemas.microsoft.com/office/2006/metadata/properties"/>
    <ds:schemaRef ds:uri="http://schemas.microsoft.com/office/infopath/2007/PartnerControls"/>
    <ds:schemaRef ds:uri="49ff6884-c76d-4694-a8cf-0940ec0ba9e3"/>
    <ds:schemaRef ds:uri="8591ffcc-27fc-42fb-931f-af539c7ace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26</vt:i4>
      </vt:variant>
      <vt:variant>
        <vt:lpstr>名前付き一覧</vt:lpstr>
      </vt:variant>
      <vt:variant>
        <vt:i4>1</vt:i4>
      </vt:variant>
    </vt:vector>
  </HeadingPairs>
  <TitlesOfParts>
    <vt:vector size="27" baseType="lpstr">
      <vt:lpstr>ジン</vt:lpstr>
      <vt:lpstr>その他</vt:lpstr>
      <vt:lpstr>堀江</vt:lpstr>
      <vt:lpstr>内海</vt:lpstr>
      <vt:lpstr>新築用</vt:lpstr>
      <vt:lpstr>パートナーズ用（zion）</vt:lpstr>
      <vt:lpstr>パートナーズ用（彦根用）</vt:lpstr>
      <vt:lpstr>パートナーズ用（名古屋用）</vt:lpstr>
      <vt:lpstr>パートナーズ用 (尼崎)</vt:lpstr>
      <vt:lpstr>パートナーズ用 (京都)</vt:lpstr>
      <vt:lpstr>パートナーズ用(小松)</vt:lpstr>
      <vt:lpstr>リモコン</vt:lpstr>
      <vt:lpstr>個別</vt:lpstr>
      <vt:lpstr>風向ガイド</vt:lpstr>
      <vt:lpstr>ルーバー</vt:lpstr>
      <vt:lpstr>前面</vt:lpstr>
      <vt:lpstr>左下 (3)</vt:lpstr>
      <vt:lpstr>RANDY</vt:lpstr>
      <vt:lpstr>粉浜入れ</vt:lpstr>
      <vt:lpstr>天板大東</vt:lpstr>
      <vt:lpstr>天板</vt:lpstr>
      <vt:lpstr>天板 (プラス)</vt:lpstr>
      <vt:lpstr>左下</vt:lpstr>
      <vt:lpstr>天板 (2)</vt:lpstr>
      <vt:lpstr>天板 (プラス) (2)</vt:lpstr>
      <vt:lpstr>左下 (2)</vt:lpstr>
      <vt:lpstr>新築用!Print_Area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TAKAHASI　１</dc:creator>
  <cp:keywords/>
  <dc:description/>
  <cp:lastModifiedBy>Kojima</cp:lastModifiedBy>
  <cp:revision/>
  <cp:lastPrinted>2026-02-17T02:57:18Z</cp:lastPrinted>
  <dcterms:created xsi:type="dcterms:W3CDTF">2010-10-07T06:01:09Z</dcterms:created>
  <dcterms:modified xsi:type="dcterms:W3CDTF">2026-02-17T02:57:25Z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c618592f-1d10-4094-92cc-93d99ac40e31</vt:lpwstr>
  </property>
  <property fmtid="{D5CDD505-2E9C-101B-9397-08002B2CF9AE}" pid="3" name="MediaServiceImageTags">
    <vt:lpwstr/>
  </property>
  <property fmtid="{D5CDD505-2E9C-101B-9397-08002B2CF9AE}" pid="4" name="ContentTypeId">
    <vt:lpwstr>0x0101008811308B82393345B95E5F0B94FB15CF</vt:lpwstr>
  </property>
</Properties>
</file>